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ikelingenfelter/repos/Voron-2.4-Build/trackers/"/>
    </mc:Choice>
  </mc:AlternateContent>
  <xr:revisionPtr revIDLastSave="0" documentId="13_ncr:1_{2011E755-EB9E-BD43-B695-627DDC00E7F4}" xr6:coauthVersionLast="47" xr6:coauthVersionMax="47" xr10:uidLastSave="{00000000-0000-0000-0000-000000000000}"/>
  <bookViews>
    <workbookView xWindow="0" yWindow="600" windowWidth="38400" windowHeight="19740" xr2:uid="{00000000-000D-0000-FFFF-FFFF00000000}"/>
  </bookViews>
  <sheets>
    <sheet name="Voron 2.4 BOM Tracker" sheetId="1" r:id="rId1"/>
    <sheet name="Instructions &amp; Notes" sheetId="2" r:id="rId2"/>
  </sheets>
  <definedNames>
    <definedName name="_xlnm._FilterDatabase" localSheetId="0" hidden="1">'Voron 2.4 BOM Tracker'!$A$3:$S$3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1" i="1" l="1"/>
  <c r="M130" i="1"/>
  <c r="M129" i="1"/>
  <c r="M128" i="1"/>
  <c r="M127" i="1"/>
  <c r="M126" i="1"/>
  <c r="M125" i="1"/>
  <c r="M124" i="1"/>
  <c r="M123" i="1"/>
  <c r="M122" i="1"/>
  <c r="M120" i="1"/>
  <c r="M119" i="1"/>
  <c r="M117" i="1"/>
  <c r="M116" i="1"/>
  <c r="M115" i="1"/>
  <c r="M114" i="1"/>
  <c r="M113" i="1"/>
  <c r="M112" i="1"/>
  <c r="M111" i="1"/>
  <c r="M110" i="1"/>
  <c r="M109" i="1"/>
  <c r="M108" i="1"/>
  <c r="M107" i="1"/>
  <c r="M106" i="1"/>
  <c r="M105" i="1"/>
  <c r="M104" i="1"/>
  <c r="M103" i="1"/>
  <c r="M102" i="1"/>
  <c r="M101" i="1"/>
  <c r="M100" i="1"/>
  <c r="M99" i="1"/>
  <c r="M98" i="1"/>
  <c r="M97" i="1"/>
  <c r="M96" i="1"/>
  <c r="M95" i="1"/>
  <c r="M94" i="1"/>
  <c r="M93" i="1"/>
  <c r="M91" i="1"/>
  <c r="M90" i="1"/>
  <c r="M89" i="1"/>
  <c r="M88" i="1"/>
  <c r="M87" i="1"/>
  <c r="M85" i="1"/>
  <c r="M84" i="1"/>
  <c r="M83" i="1"/>
  <c r="M82" i="1"/>
  <c r="M80" i="1"/>
  <c r="M79" i="1"/>
  <c r="M78" i="1"/>
  <c r="M77" i="1"/>
  <c r="M76" i="1"/>
  <c r="M75" i="1"/>
  <c r="M74" i="1"/>
  <c r="M72" i="1"/>
  <c r="M71" i="1"/>
  <c r="M70" i="1"/>
  <c r="M69" i="1"/>
  <c r="M68" i="1"/>
  <c r="M67" i="1"/>
  <c r="M66" i="1"/>
  <c r="M65" i="1"/>
  <c r="M64" i="1"/>
  <c r="M63" i="1"/>
  <c r="M62" i="1"/>
  <c r="M61" i="1"/>
  <c r="M60" i="1"/>
  <c r="M59" i="1"/>
  <c r="M58" i="1"/>
  <c r="M57" i="1"/>
  <c r="M56" i="1"/>
  <c r="M55" i="1"/>
  <c r="M53" i="1"/>
  <c r="M51" i="1"/>
  <c r="M50" i="1"/>
  <c r="M49" i="1"/>
  <c r="M48" i="1"/>
  <c r="M47" i="1"/>
  <c r="M46" i="1"/>
  <c r="M45" i="1"/>
  <c r="M44" i="1"/>
  <c r="M43" i="1"/>
  <c r="M42" i="1"/>
  <c r="M41" i="1"/>
  <c r="M40" i="1"/>
  <c r="M39" i="1"/>
  <c r="M38" i="1"/>
  <c r="M37" i="1"/>
  <c r="M36" i="1"/>
  <c r="M35" i="1"/>
  <c r="M34" i="1"/>
  <c r="M33" i="1"/>
  <c r="M31" i="1"/>
  <c r="M30" i="1"/>
  <c r="M29" i="1"/>
  <c r="M28" i="1"/>
  <c r="M27" i="1"/>
  <c r="M26" i="1"/>
  <c r="M25" i="1"/>
  <c r="M24" i="1"/>
  <c r="M23" i="1"/>
  <c r="M22" i="1"/>
  <c r="M21" i="1"/>
  <c r="M20" i="1"/>
  <c r="M19" i="1"/>
  <c r="M18" i="1"/>
  <c r="M17" i="1"/>
  <c r="M16" i="1"/>
  <c r="M15" i="1"/>
  <c r="M14" i="1"/>
  <c r="M13" i="1"/>
  <c r="M12" i="1"/>
  <c r="M11" i="1"/>
  <c r="M10" i="1"/>
  <c r="M9" i="1"/>
  <c r="M7" i="1"/>
  <c r="M6" i="1"/>
  <c r="M5" i="1"/>
  <c r="M132" i="1" l="1"/>
</calcChain>
</file>

<file path=xl/sharedStrings.xml><?xml version="1.0" encoding="utf-8"?>
<sst xmlns="http://schemas.openxmlformats.org/spreadsheetml/2006/main" count="1070" uniqueCount="442">
  <si>
    <t>Voron 2.4 – Official Sourcing Guide Parts Tracker</t>
  </si>
  <si>
    <t>Data from vorondesign.com/sourcing_guide?model=V2.4  |  Vendor links are direct product/category pages from the official guide  |  Verify quantities with the Voron Configurator BOM before ordering</t>
  </si>
  <si>
    <t>Category</t>
  </si>
  <si>
    <t>Item / Part</t>
  </si>
  <si>
    <t>Qty</t>
  </si>
  <si>
    <t>Size</t>
  </si>
  <si>
    <t>Notes</t>
  </si>
  <si>
    <t>Vendor 1</t>
  </si>
  <si>
    <t>V1 URL</t>
  </si>
  <si>
    <t>Vendor 2</t>
  </si>
  <si>
    <t>V2 URL</t>
  </si>
  <si>
    <t>Vendor 3</t>
  </si>
  <si>
    <t>V3 URL</t>
  </si>
  <si>
    <t>Est Unit
Price (USD)</t>
  </si>
  <si>
    <t>Total Est
Cost</t>
  </si>
  <si>
    <t>Status</t>
  </si>
  <si>
    <t>Purchased From</t>
  </si>
  <si>
    <t>Order #</t>
  </si>
  <si>
    <t>Date
Ordered</t>
  </si>
  <si>
    <t>Date
Received</t>
  </si>
  <si>
    <t>✓</t>
  </si>
  <si>
    <t xml:space="preserve">  ▶  PRINTED PARTS</t>
  </si>
  <si>
    <t>Printed Parts</t>
  </si>
  <si>
    <t>Primary Color (Black)</t>
  </si>
  <si>
    <t>All</t>
  </si>
  <si>
    <t>Paramount ABS</t>
  </si>
  <si>
    <t>https://www.paramount-3d.com/product-page/absblack</t>
  </si>
  <si>
    <t>MakeShaper ABS</t>
  </si>
  <si>
    <t>https://makeshaper.com/product/black-abs-1-75-mm-filament/</t>
  </si>
  <si>
    <t>Not Started</t>
  </si>
  <si>
    <t>☐</t>
  </si>
  <si>
    <t>Secondary Color (Red)</t>
  </si>
  <si>
    <t>https://www.paramount-3d.com/product-page/abs-pantone-enzo-red-485c-1-75mm-1kg-filament-trrl3020485c</t>
  </si>
  <si>
    <t>Hatchbox ABS</t>
  </si>
  <si>
    <t>https://www.amazon.com/HATCHBOX-3D-Filament-Dimensional-Accuracy/dp/B00J0HB1YI</t>
  </si>
  <si>
    <t>https://makeshaper.com/product/red-abs-1-75-mm-filament/</t>
  </si>
  <si>
    <t>Print Yourself</t>
  </si>
  <si>
    <t>Print It Forward</t>
  </si>
  <si>
    <t>https://pif.voron.dev/</t>
  </si>
  <si>
    <t xml:space="preserve">  ▶  FASTENERS</t>
  </si>
  <si>
    <t>Fasteners</t>
  </si>
  <si>
    <t>M5x40 SHCS</t>
  </si>
  <si>
    <t>Bolt Depot</t>
  </si>
  <si>
    <t>https://www.boltdepot.com/Product-Details.aspx?product=6527</t>
  </si>
  <si>
    <t>McMaster-Carr (10 pack)</t>
  </si>
  <si>
    <t>https://www.mcmaster.com/91290A196</t>
  </si>
  <si>
    <t>M5x30 BHCS</t>
  </si>
  <si>
    <t>https://www.boltdepot.com/Product-Details.aspx?product=15651</t>
  </si>
  <si>
    <t>McMaster-Carr (100 pack)</t>
  </si>
  <si>
    <t>https://www.mcmaster.com/91239A236</t>
  </si>
  <si>
    <t>M5x16 BHCS</t>
  </si>
  <si>
    <t>https://www.boltdepot.com/Product-Details.aspx?product=15648</t>
  </si>
  <si>
    <t>https://www.mcmaster.com/91239A232</t>
  </si>
  <si>
    <t>M5x10 BHCS</t>
  </si>
  <si>
    <t>https://www.boltdepot.com/Product-Details.aspx?product=15646</t>
  </si>
  <si>
    <t>https://www.mcmaster.com/91239A224</t>
  </si>
  <si>
    <t>M4x6 BHCS</t>
  </si>
  <si>
    <t>https://www.boltdepot.com/Product-Details.aspx?product=18944</t>
  </si>
  <si>
    <t>https://www.mcmaster.com/91239a138</t>
  </si>
  <si>
    <t>M3x40 SHCS</t>
  </si>
  <si>
    <t>https://www.boltdepot.com/Product-Details.aspx?product=6387</t>
  </si>
  <si>
    <t>McMaster-Carr (25 pack)</t>
  </si>
  <si>
    <t>https://www.mcmaster.com/91290A136</t>
  </si>
  <si>
    <t>M3x30 SHCS</t>
  </si>
  <si>
    <t>https://www.boltdepot.com/Product-Details.aspx?product=13641</t>
  </si>
  <si>
    <t>https://www.mcmaster.com/91290A171</t>
  </si>
  <si>
    <t>M3x20 SHCS</t>
  </si>
  <si>
    <t>https://www.boltdepot.com/Product-Details.aspx?product=13639</t>
  </si>
  <si>
    <t>https://www.mcmaster.com/91290A123</t>
  </si>
  <si>
    <t>M3x16 SHCS</t>
  </si>
  <si>
    <t>https://www.boltdepot.com/Product-Details.aspx?product=13638</t>
  </si>
  <si>
    <t>https://www.mcmaster.com/91290A120</t>
  </si>
  <si>
    <t>M3x12 SHCS</t>
  </si>
  <si>
    <t>https://www.boltdepot.com/Product-Details.aspx?product=13637</t>
  </si>
  <si>
    <t>https://www.mcmaster.com/91290A117</t>
  </si>
  <si>
    <t>M3x8 SHCS</t>
  </si>
  <si>
    <t>201-217</t>
  </si>
  <si>
    <t>https://www.boltdepot.com/Product-Details.aspx?product=13635</t>
  </si>
  <si>
    <t>https://www.mcmaster.com/91290a113</t>
  </si>
  <si>
    <t>M3x6 FHCS</t>
  </si>
  <si>
    <t>https://www.boltdepot.com/Product-Details.aspx?product=13249</t>
  </si>
  <si>
    <t>M3x6 BHCS</t>
  </si>
  <si>
    <t>https://www.boltdepot.com/Product-Details.aspx?product=13334</t>
  </si>
  <si>
    <t>https://www.mcmaster.com/91239a111</t>
  </si>
  <si>
    <t>M2x10 Self Tapping Screw for Plastics</t>
  </si>
  <si>
    <t>McMaster-Carr (50 pack)</t>
  </si>
  <si>
    <t>https://www.mcmaster.com/99397A267/</t>
  </si>
  <si>
    <t>Aliexpress</t>
  </si>
  <si>
    <t>https://www.aliexpress.com/item/32748428213.html</t>
  </si>
  <si>
    <t>Link</t>
  </si>
  <si>
    <t>http://s.click.aliexpress.com/e/lZCUQlFa</t>
  </si>
  <si>
    <t>M3 Threaded Insert (M3x5mmx4mm)</t>
  </si>
  <si>
    <t>Aliexpress - M3x5x4</t>
  </si>
  <si>
    <t>https://www.google.com/url?q=https://www.aliexpress.com/item/4000232858343.html?spm%3Da2g0s.9042311.0.0.21164c4dGhWHhY&amp;sa=D&amp;ust=1586482614596000&amp;usg=AFQjCNFebtWYWJj3SUGijp6uSvnof_BzBg</t>
  </si>
  <si>
    <t>https://s.click.aliexpress.com/e/_dW3Uprs</t>
  </si>
  <si>
    <t>M4 knurled nut</t>
  </si>
  <si>
    <t>5x10x1 Shim Ring</t>
  </si>
  <si>
    <t>https://www.aliexpress.com/item/32917948919.html</t>
  </si>
  <si>
    <t>http://s.click.aliexpress.com/e/41Vkdm7q</t>
  </si>
  <si>
    <t>M3 Washer</t>
  </si>
  <si>
    <t>https://www.boltdepot.com/Product-Details.aspx?product=4513</t>
  </si>
  <si>
    <t>https://www.mcmaster.com/93475A210</t>
  </si>
  <si>
    <t>M5 Hexnut</t>
  </si>
  <si>
    <t>https://www.boltdepot.com/Product-Details.aspx?product=4785</t>
  </si>
  <si>
    <t>M3 Hexnut</t>
  </si>
  <si>
    <t>https://www.boltdepot.com/Product-Details.aspx?product=4783</t>
  </si>
  <si>
    <t>https://www.mcmaster.com/90591A250</t>
  </si>
  <si>
    <t>M3 T-nut HNTAJ5-3</t>
  </si>
  <si>
    <t>104-120</t>
  </si>
  <si>
    <t>Misumi short t-nuts are not required anywhere in the V2.4 build. You can source the cheaper ball spring options if you choose.</t>
  </si>
  <si>
    <t>Misumi</t>
  </si>
  <si>
    <t>https://us.misumi-ec.com/vona2/detail/110302247910/</t>
  </si>
  <si>
    <t>ZFhong</t>
  </si>
  <si>
    <t>https://www.aliexpress.com/item/50PCS-20-series-Roll-in-T-Spring-Nuts-M3-M4-M5-M6-For-2020-Aluminum-Profiles/32805163712.html</t>
  </si>
  <si>
    <t>M5 T-nut HNTAJ5-5</t>
  </si>
  <si>
    <t>M3 Hammer Head T-Nuts</t>
  </si>
  <si>
    <t>https://www.aliexpress.com/item/33023248880.html</t>
  </si>
  <si>
    <t>https://s.click.aliexpress.com/e/_dSjU9WW</t>
  </si>
  <si>
    <t xml:space="preserve">  ▶  MOTION</t>
  </si>
  <si>
    <t>Motion</t>
  </si>
  <si>
    <t>GT2 Open Belt LL-2GT-6 (6mm wide) - Length Dependant on Config</t>
  </si>
  <si>
    <t>GATES belts are required for every open loop belt on the machine. SDP-SI is a US gates reseller (and tested)</t>
  </si>
  <si>
    <t>Trianglelab</t>
  </si>
  <si>
    <t>https://www.aliexpress.com/item/GATES-LL-2GT-3D-printer-gear-synchronous-belt-GT2-Width-6MM-9MM-High-quality-wear-resistant/32853559638.html</t>
  </si>
  <si>
    <t>SDP-SI (Genuine US Made Gates)</t>
  </si>
  <si>
    <t>http://shop.sdp-si.com/catalog/product/?id=A_6R51MC060</t>
  </si>
  <si>
    <t>POWGE</t>
  </si>
  <si>
    <t>https://www.aliexpress.com/item/32987817703.html</t>
  </si>
  <si>
    <t>GT2 Open Belt LL-2GT-9 (9mm wide) - Length Dependant on Config</t>
  </si>
  <si>
    <t>http://shop.sdp-si.com/catalog/product/?id=A_6R51MC090</t>
  </si>
  <si>
    <t>GT2 Belt Loop (6mm wide) - 188mm</t>
  </si>
  <si>
    <t>https://www.aliexpress.com/item/4000034021834.html</t>
  </si>
  <si>
    <t>http://shop.sdp-si.com/catalog/product/?id=A%206R51M094060</t>
  </si>
  <si>
    <t>GT2 20T (6mm wide) Pulley (5mm bore)</t>
  </si>
  <si>
    <t>https://www.aliexpress.com/item/Sale-10pcs-GT2-Timing-Pulley-20teeth-Bore-6-35mm-1-4-fit-for-GT2-belt-Width/32226562320.html</t>
  </si>
  <si>
    <t>GT2 16T (6mm wide) Pulley (5mm bore)</t>
  </si>
  <si>
    <t>https://www.aliexpress.com/store/product/Freeshipping-40pcs-16teeth-GT2-Timing-Pulley-Bore-5mm-fit-for-width-6mm-of-2GT-Timing/702327_1744808992.html</t>
  </si>
  <si>
    <t>GT2 20T (9mm wide) Pulley (5mm bore)</t>
  </si>
  <si>
    <t>(10mm wide parts, such as the POWGE link are acceptable)</t>
  </si>
  <si>
    <t>https://www.aliexpress.com/store/product/1pcs-20-Teeth-GT2-Timing-Pulley-Bore-5mm-for-wide-9mm-2GT-open-Timing-Belt-Small/702327_32650675929.html</t>
  </si>
  <si>
    <t>GT2 20T (6mm wide) Toothed Idler (5mm bore)</t>
  </si>
  <si>
    <t>https://www.aliexpress.com/item/32726309946.html</t>
  </si>
  <si>
    <t>Filastruder (US) [Gates]</t>
  </si>
  <si>
    <t>https://www.filastruder.com/products/gates-2gt-idler</t>
  </si>
  <si>
    <t>E3D (EU) [Gates]</t>
  </si>
  <si>
    <t>https://e3d-online.com/gates-powergripr-toothed-idler-6mm</t>
  </si>
  <si>
    <t>GT2 20T (9mm wide) Toothed Idler (5mm bore)</t>
  </si>
  <si>
    <t>https://www.aliexpress.com/item/32750492452.html</t>
  </si>
  <si>
    <t>https://e3d-online.com/gates-powergrip-toothed-idler-9mm</t>
  </si>
  <si>
    <t>GT2 80T (6mm wide) Pulley (5mm bore)</t>
  </si>
  <si>
    <t>https://www.aliexpress.com/item/32782605159.html</t>
  </si>
  <si>
    <t>F695 2RS Bearing</t>
  </si>
  <si>
    <t>RainDew</t>
  </si>
  <si>
    <t>https://www.aliexpress.com/item/33001186278.html</t>
  </si>
  <si>
    <t>Fushi</t>
  </si>
  <si>
    <t>https://www.aliexpress.com/item/F695-2RS-Bearing-5-13-4mm-10-PCS-ABEC-1-Flanged-Miniature-F695RS-Ball-Bearings-RF/32850989216.html</t>
  </si>
  <si>
    <t>625 2RS Bearing</t>
  </si>
  <si>
    <t>https://www.aliexpress.com/item/32991204773.html</t>
  </si>
  <si>
    <t>https://www.aliexpress.com/item/625RS-Bearing-ABEC-5-10PCS-5-16-5-mm-Miniature-Sealed-625-2RS-Ball-Bearings-625/32802288535.html</t>
  </si>
  <si>
    <t>5x60mm Shaft - Grind Flat</t>
  </si>
  <si>
    <t>linkcnc will precut your shafts to specified lengths if you do not have cutting tools like a Dremel, you still need to make flats yourself</t>
  </si>
  <si>
    <t>linkcnc</t>
  </si>
  <si>
    <t>https://www.aliexpress.com/item/1pcs-SFC5-WCS5mm-L500mm-chrome-plated-linear-rod-round-Linear-Motion-Shaft-for-CNC-XYZ-can/1739093502.html</t>
  </si>
  <si>
    <t>5x30mm Shaft</t>
  </si>
  <si>
    <t>Linear Rail MGN9H ** See Configurator for length **</t>
  </si>
  <si>
    <t>250³</t>
  </si>
  <si>
    <t>RobotDigg PN: GS_MGN9-1H-B300 pay attention to rail length vs build size, they are not the same</t>
  </si>
  <si>
    <t>RobotDigg (Black Stainless Rails)</t>
  </si>
  <si>
    <t>https://www.robotdigg.com/product/1314/Black-anodized-linear-rail-7,-9,-12-and-15</t>
  </si>
  <si>
    <t>CNA</t>
  </si>
  <si>
    <t>https://www.aliexpress.com/item/32773296501.html?spm=2114.12010612.8148356.4.46a27cbep2UDWu</t>
  </si>
  <si>
    <t>Zyltech</t>
  </si>
  <si>
    <t>http://www.zyltech.com/zyltech-mgn9-linear-rail-with-single-or-double-carriage-block/</t>
  </si>
  <si>
    <t>Linear Rail MGN9H ** See Configurator for length **</t>
  </si>
  <si>
    <t>300³</t>
  </si>
  <si>
    <t>RobotDigg PN: GS_MGN9-1H-B350 pay attention to rail length vs build size, they are not the same</t>
  </si>
  <si>
    <t>350³</t>
  </si>
  <si>
    <t>RobotDigg PN: GS_MGN9-1H-B400 pay attention to rail length vs build size, they are not the same</t>
  </si>
  <si>
    <t>Linear Rail MGN12H ** See Configurator for length **</t>
  </si>
  <si>
    <t>RobotDigg PN: GS_MGN12-1H-B300 pay attention to rail length vs build size, they are not the same</t>
  </si>
  <si>
    <t>https://www.aliexpress.com/item/2251832643511407.html?</t>
  </si>
  <si>
    <t>https://www.zyltech.com/zyltech-mgn12-h-type-linear-rail-with-single-or-double-carriage-block/</t>
  </si>
  <si>
    <t>Linear Rail MGN12H ** See Configurator for length **</t>
  </si>
  <si>
    <t>RobotDigg PN: GS_MGN12-1H-B350 pay attention to rail length vs build size, they are not the same</t>
  </si>
  <si>
    <t>RobotDigg PN: GS_MGN12-1H-B400 pay attention to rail length vs build size, they are not the same</t>
  </si>
  <si>
    <t xml:space="preserve">  ▶  VIBRATION MGMT</t>
  </si>
  <si>
    <t>Vibration Mgmt</t>
  </si>
  <si>
    <t>Rubber Compressor Foot</t>
  </si>
  <si>
    <t>Comes and goes in stock from Amazon</t>
  </si>
  <si>
    <t>Amazon</t>
  </si>
  <si>
    <t>https://www.amazon.com/uxcell-47mmx18mm-Compressor-Replacement-Black/dp/B0711Y6T56/ref=sr_1_4?ie=UTF8&amp;qid=1550343762&amp;sr=8-4&amp;keywords=compressor+foot</t>
  </si>
  <si>
    <t>AliExpress</t>
  </si>
  <si>
    <t>https://www.aliexpress.com/item/High-quality-4pcs-48mmx18mm-Black-Rubber-Pad-Replacement-Foot-Pads-Vibration-Isolator-for-Air-Compressors/32990144547.html</t>
  </si>
  <si>
    <t>https://www.aliexpress.com/item/32996184575.html?</t>
  </si>
  <si>
    <t xml:space="preserve">  ▶  ELECTRONICS</t>
  </si>
  <si>
    <t>Electronics</t>
  </si>
  <si>
    <t>Omron Mouse Button - Micro Switch</t>
  </si>
  <si>
    <t>Digikey</t>
  </si>
  <si>
    <t>https://www.digikey.com/en/products/detail/omron-electronics-inc-emc-div/D2F-01L/83264</t>
  </si>
  <si>
    <t>https://www.digikey.com/product-detail/en/omron-electronics-inc-emc-div/D2F-5L/Z8846-ND/8593137</t>
  </si>
  <si>
    <t>Inductive Probe</t>
  </si>
  <si>
    <t>Aliexpress - TL-Q5MC2-Z</t>
  </si>
  <si>
    <t>Digikey - TL-Q5MC2</t>
  </si>
  <si>
    <t>https://www.aliexpress.com/item/2251832663198775.html</t>
  </si>
  <si>
    <t>Digkey - GX-HL15B</t>
  </si>
  <si>
    <t>https://www.digikey.com/en/products/detail/panasonic-industrial-automation-sales/GX-HL15B/3896951</t>
  </si>
  <si>
    <t>https://www.digikey.com/en/products/detail/omron-automation-and-safety/tl-q5mc2/2669828</t>
  </si>
  <si>
    <t>BAT85 Diode</t>
  </si>
  <si>
    <t>DigiKey</t>
  </si>
  <si>
    <t>You do not want to get this part from an Ali vendor as quality can be suspect. If these sources are not available in your area, please ask in a regional channel on Discord or search a local electronics store.</t>
  </si>
  <si>
    <t>https://www.digikey.com/product-detail/en/BAT85S-TR/BAT85SCT-ND/3104371</t>
  </si>
  <si>
    <t>Omron G3NA-210B-DC5 (10A) or Crydom D2425 (25A) or Crydom 84134000 (10A) SSR or Panasonic AQA211VL (15A)</t>
  </si>
  <si>
    <t>Digikey (Omron)</t>
  </si>
  <si>
    <t>Digikey (Crydom 10A)</t>
  </si>
  <si>
    <t>https://www.digikey.com/en/products/detail/omron-automation-and-safety/G3NA-210B-UTU-DC5-24/634443?</t>
  </si>
  <si>
    <t>Digikey (Panasonic)</t>
  </si>
  <si>
    <t>https://www.digikey.com/en/products/detail/panasonic-electric-works/AQA211VL/2364682</t>
  </si>
  <si>
    <t>Digikey (Crydom 25A)</t>
  </si>
  <si>
    <t>https://www.digikey.com/product-detail/en/sensata-crydom/D2425/CC1006-ND/139477</t>
  </si>
  <si>
    <t>NEMA17 Motor 17HS19-2004S</t>
  </si>
  <si>
    <t>Stepper Online</t>
  </si>
  <si>
    <t>[Affiliate Link]</t>
  </si>
  <si>
    <t>https://www.omc-stepperonline.com/nema-17-bipolar-59ncm-84oz-in-2a-42x48mm-4-wires-w-1m-cable-and-connector.html</t>
  </si>
  <si>
    <t>https://www.aliexpress.com/store/product/5PCS-59Ncm-84oz-in-Nema-17-Stepper-Motor-2A-4-wire-1m-Cable-for-DIY-3D/1984315_32589488227.html</t>
  </si>
  <si>
    <t>https://www.amazon.com/STEPPERONLINE-Stepper-Bipolar-Connector-compatible/dp/B00PNEQKC0/ref=sr_1_4?crid=3HWFT2JRA2OQE&amp;dchild=1&amp;keywords=17hs19-2004s1&amp;qid=1599500107&amp;s=industrial&amp;sprefix=17hs19%2Cindustrial%2C156&amp;sr=1-4</t>
  </si>
  <si>
    <t>Mean Well LRS-200-24 PSU</t>
  </si>
  <si>
    <t>https://www.digikey.com/products/en?keywords=LRS-200-24</t>
  </si>
  <si>
    <t>Digikey (Europe)</t>
  </si>
  <si>
    <t>https://www.digikey.com/products/en?keywords=RSP-200-24</t>
  </si>
  <si>
    <t>Mean Well RS-25-5 PSU</t>
  </si>
  <si>
    <t>Do not cheap out on this. Get a legitimate MeanWell PSU.</t>
  </si>
  <si>
    <t>https://www.digikey.com/product-detail/en/mean-well-usa-inc/RS-25-5/1866-4145-ND/7706180</t>
  </si>
  <si>
    <t>ZF - Rocker Switches DPST 16A ON-OFF</t>
  </si>
  <si>
    <t>Digikey (no Light)</t>
  </si>
  <si>
    <t>Note the Mouser (Red Light) only has a 125v indicator in it. For 220/240 countries use the no light model</t>
  </si>
  <si>
    <t>https://www.digikey.com/products/en?keywords=wrg32f2fbbnn</t>
  </si>
  <si>
    <t>Mouser (Red Light)</t>
  </si>
  <si>
    <t>https://www.mouser.com/ProductDetail/ZF/WRG32F2BBRLN?qs=%2Fha2pyFadugTPgk3aI89ZNgIRYXUDJ2iew%252BR%252BPzJE%2FSagvnd6sid0w%3D%3D&amp;utm_source=octopart&amp;utm_medium=aggregator&amp;utm_campaign=540-WRG32F2BBRLN&amp;utm_content=ZF%20Electronics</t>
  </si>
  <si>
    <t>Fuse Medium Time Delay Acting 8A 250V Holder Cartridge 5 X 20mm Glass</t>
  </si>
  <si>
    <t>For areas with 120V mains systems.</t>
  </si>
  <si>
    <t>https://www.digikey.com/products/en?keywords=0232008.mxp</t>
  </si>
  <si>
    <t>Fuse Medium Time Delay Acting 4A 250V Holder Cartridge 5 X 20mm Glass</t>
  </si>
  <si>
    <t>For areas with 220V mains systems. Digikey can be expensive for EU customers, and this part can often be found cheaper at a local hardware or automotive store.</t>
  </si>
  <si>
    <t>https://www.digikey.com/en/products/detail/littelfuse-inc/0232004-MXP/778023</t>
  </si>
  <si>
    <t>TycoElectronics - 10EGG1-2 (Normal) or 10EHG1-2 (Medical): Filtered Power Inlet</t>
  </si>
  <si>
    <t>For European dual-fuse builds</t>
  </si>
  <si>
    <t>https://www.digikey.com/products/en?keywords=3-1609115-3</t>
  </si>
  <si>
    <t>Mouser</t>
  </si>
  <si>
    <t>https://www.mouser.com/ProductDetail/TE-Connectivity-PB/10EGG1-2/?qs=vcjNRp8H9z2nhEkRL4AXYw%3D%3D</t>
  </si>
  <si>
    <t>TycoElectronics - 10EGG1-1 (Normal) or 10EHG1-1 (Medical): Filtered Power Inlet</t>
  </si>
  <si>
    <t>For North American &amp; UK single-fuse builds</t>
  </si>
  <si>
    <t>https://www.digikey.com/en/products/detail/te-connectivity-corcom-filters/3-1609115-4/2032295</t>
  </si>
  <si>
    <t>https://www.mouser.com/ProductDetail/TE-Connectivity-PB/10EGG1-1?qs=vcjNRp8H9z1CsIf%2F5OknUw%3D%3D</t>
  </si>
  <si>
    <t>IEC320 C14 Inlet - Push-fit - w/ Rocker Switch &amp; Fuse</t>
  </si>
  <si>
    <t>See note for PiF Digikey</t>
  </si>
  <si>
    <t>If you are getting PiF parts you will need the filtered inlet and switch</t>
  </si>
  <si>
    <t>https://www.digikey.com/en/products/detail/adam-tech/IEC-GS-1-100/9831135</t>
  </si>
  <si>
    <t>40x40x10 Axial Fan- Ball Bearing (24V)</t>
  </si>
  <si>
    <t>GDSTIME</t>
  </si>
  <si>
    <t>Delta or Sunon are preferred brands</t>
  </si>
  <si>
    <t>https://www.aliexpress.com/item/32726640438.html</t>
  </si>
  <si>
    <t>https://www.amazon.com/dp/B07DB5H6K1</t>
  </si>
  <si>
    <t>40x40x20 Centrifugal Blower Fan - Ball Bearing (24V)</t>
  </si>
  <si>
    <t>https://www.aliexpress.com/item/1005001464730686.html</t>
  </si>
  <si>
    <t>https://www.amazon.com/dp/B07L2YH79Y</t>
  </si>
  <si>
    <t>60x60x20 Axial Fan (24V)</t>
  </si>
  <si>
    <t>https://www.digikey.com/product-detail/en/orion-fans/OD6020-24HB/1053-1234-ND/2621139</t>
  </si>
  <si>
    <t>https://www.aliexpress.com/item/32899594270.html</t>
  </si>
  <si>
    <t>https://www.amazon.com/dp/B08577444D</t>
  </si>
  <si>
    <t>Thermal Fuse</t>
  </si>
  <si>
    <t>https://www.aliexpress.com/item/32885492280.html</t>
  </si>
  <si>
    <t>DIN Rail</t>
  </si>
  <si>
    <t>https://www.digikey.com/en/products/detail/idec/BAA1000/8344276</t>
  </si>
  <si>
    <t xml:space="preserve">  ▶  CONTROLLER</t>
  </si>
  <si>
    <t>Controller</t>
  </si>
  <si>
    <t>RaspberryPi4</t>
  </si>
  <si>
    <t>Arrow</t>
  </si>
  <si>
    <t>https://www.arrow.com/en/products/raspberrypi4/raspberry-pi-foundation</t>
  </si>
  <si>
    <t>MicroSD Card</t>
  </si>
  <si>
    <t>Amazon (64gb)</t>
  </si>
  <si>
    <t>https://www.amazon.com/SanDisk-Ultra-microSDXC-Memory-Adapter/dp/B073JYVKNX/</t>
  </si>
  <si>
    <t>USB C Power Cable</t>
  </si>
  <si>
    <t>to get power from the RS-25-5 to the Pi, you can use a spare from around the house</t>
  </si>
  <si>
    <t>https://www.amazon.com/AmazonBasics-Type-C-USB-Male-Cable/dp/B01GGKYKQM/</t>
  </si>
  <si>
    <t>SKR 1.4</t>
  </si>
  <si>
    <t>BIGTREETECH</t>
  </si>
  <si>
    <t>https://www.aliexpress.com/item/4000470048293.html?</t>
  </si>
  <si>
    <t>https://smile.amazon.com/BIQU-Printer-Smoothieboard-Compatible-Ramps1-4/dp/B082HCFL34/</t>
  </si>
  <si>
    <t>TMC2209 Stepper Motor Driver</t>
  </si>
  <si>
    <t>https://www.aliexpress.com/item/33029587820.html</t>
  </si>
  <si>
    <t>USB Cable A-male B-male (Included with SKR)</t>
  </si>
  <si>
    <t>Most SKR kits come with a cable so this part is likely unnecessary as a separate purchase. Double check your purchase history.</t>
  </si>
  <si>
    <t>Mini 12864 Display (Type B)</t>
  </si>
  <si>
    <t>Fysetc</t>
  </si>
  <si>
    <t>https://www.aliexpress.com/item/32980210325.html?spm=a2g0o.productlist.0.0.6cee2224qobujC&amp;algo_pvid=d15b7ec7-40aa-482a-9a67-8188e5d17108&amp;algo_expid=d15b7ec7-40aa-482a-9a67-8188e5d17108-1&amp;btsid=0ab6fb8815879973153223218ec2d2&amp;ws_ab_test=searchweb0_0,searchweb201602_,searchweb201603_</t>
  </si>
  <si>
    <t xml:space="preserve">  ▶  FRAME</t>
  </si>
  <si>
    <t>Frame</t>
  </si>
  <si>
    <t>OpenBuilds Angle Corner Connector</t>
  </si>
  <si>
    <t>OpenBuilds</t>
  </si>
  <si>
    <t>https://openbuildspartstore.com/black-angle-corner-connector/</t>
  </si>
  <si>
    <t>Misumi HFSB5-2020 (Size depends - use configurator)</t>
  </si>
  <si>
    <t>You can order 'silver' extrustions from Misumi by replacing the HFSB5 at the begining of the part number with HFS5</t>
  </si>
  <si>
    <t>https://us.misumi-ec.com/vona2/detail/110302683830/?Inch=0</t>
  </si>
  <si>
    <t xml:space="preserve">  ▶  MISC</t>
  </si>
  <si>
    <t>Misc</t>
  </si>
  <si>
    <t>Bowden Tube (4mm OD, ID depends on extruder type)</t>
  </si>
  <si>
    <t>https://www.aliexpress.com/item/1005001408141263.html</t>
  </si>
  <si>
    <t>https://www.aliexpress.com/item/32811240720.html</t>
  </si>
  <si>
    <t>6mm x 3mm Round Neodymium Magnets</t>
  </si>
  <si>
    <t>https://www.aliexpress.com/item/1005001418808468.html</t>
  </si>
  <si>
    <t>https://www.aliexpress.com/item/32951137017.html</t>
  </si>
  <si>
    <t>Bowden Coupler (for 4mm OD tube)</t>
  </si>
  <si>
    <t>E3D (1.75mm)</t>
  </si>
  <si>
    <t>https://e3d-online.com/products/threaded-bowden-coupling</t>
  </si>
  <si>
    <t>McMaster-Carr</t>
  </si>
  <si>
    <t>https://www.mcmaster.com/5449K171/</t>
  </si>
  <si>
    <t>Foam Panel Tape (5mm wide/3mm thick)</t>
  </si>
  <si>
    <t>https://www.aliexpress.com/item/32885016096.html</t>
  </si>
  <si>
    <t>BMG Extruder Hardware Kit (if configured with direct feed)</t>
  </si>
  <si>
    <t>Aliexpress (TL)</t>
  </si>
  <si>
    <t>https://www.aliexpress.com/item/4000021186440.html?spm=2114.12010612.8148356.22.3f2939a11poXsq</t>
  </si>
  <si>
    <t xml:space="preserve">  ▶  CABLES</t>
  </si>
  <si>
    <t>Cables</t>
  </si>
  <si>
    <t>Fork Spade Terminal</t>
  </si>
  <si>
    <t>for power supply and SSR</t>
  </si>
  <si>
    <t>https://www.digikey.com/products/en?keywords=19198-0006</t>
  </si>
  <si>
    <t>Insulated Crimp Receptical</t>
  </si>
  <si>
    <t>for Power Inlet (6.35mm)</t>
  </si>
  <si>
    <t>https://www.digikey.com/products/en?keywords=2-520184-2</t>
  </si>
  <si>
    <t>Nylon Cable Ties 4"</t>
  </si>
  <si>
    <t>https://www.amazon.com/gp/product/B01M06HTVH/</t>
  </si>
  <si>
    <t>https://amzn.to/2mzoRjl</t>
  </si>
  <si>
    <t>MicroFit3 Male Pin (43031-0007)</t>
  </si>
  <si>
    <t>This is a good starter kit that has plenty of pins and all of the required connectors. The kit comes with individual part numbers to source individual pieces later if required.</t>
  </si>
  <si>
    <t>https://www.digikey.com/products/en?keywords=43031-0007</t>
  </si>
  <si>
    <t>https://www.digikey.com/products/en?keywords=%2076650-0159</t>
  </si>
  <si>
    <t>MicroFit3 Female Pin (43030-0007)</t>
  </si>
  <si>
    <t>https://www.digikey.com/products/en?keywords=43030-0007</t>
  </si>
  <si>
    <t>MicroFit Connector Receptacle 4 Position (43645-0400)</t>
  </si>
  <si>
    <t>https://www.digikey.com/products/en?keywords=43645-0400</t>
  </si>
  <si>
    <t>MicroFit Connector Receptacle 3 Position (43645-0300)</t>
  </si>
  <si>
    <t>https://www.digikey.com/products/en?keywords=43645-0300</t>
  </si>
  <si>
    <t>MicroFit Connector Receptacle 2 Position (43645-0200)</t>
  </si>
  <si>
    <t>https://www.digikey.com/products/en?keywords=43645-0200</t>
  </si>
  <si>
    <t>MicroFit Connector Plug 4 Position (43640-0401)</t>
  </si>
  <si>
    <t>https://www.digikey.com/products/en?keywords=43640-0401</t>
  </si>
  <si>
    <t>MicroFit Connector Plug 3 Position (43640-0301)</t>
  </si>
  <si>
    <t>https://www.digikey.com/products/en?keywords=43640-0301</t>
  </si>
  <si>
    <t>MicroFit Connector Plug 2 Position (43640-0201)</t>
  </si>
  <si>
    <t>https://www.digikey.com/products/en?keywords=43640-0201</t>
  </si>
  <si>
    <t>MLX Power Receptacle 3 Position (50-84-2030)</t>
  </si>
  <si>
    <t>For Bed (Line, Neutral and Ground)</t>
  </si>
  <si>
    <t>https://www.digikey.com/products/en?keywords=50-84-2030</t>
  </si>
  <si>
    <t>MLX Power Plug 3 Position (50-84-1030)</t>
  </si>
  <si>
    <t>https://www.digikey.com/products/en?keywords=50-84-1030</t>
  </si>
  <si>
    <t>MLX Male Pin (02-08-2004)</t>
  </si>
  <si>
    <t>https://www.digikey.com/products/en?keywords=02-08-2004</t>
  </si>
  <si>
    <t>MLX Female Pin (02-08-1002)</t>
  </si>
  <si>
    <t>https://www.digikey.com/products/en?keywords=02-08-1002</t>
  </si>
  <si>
    <t>JST-XH Female Pin</t>
  </si>
  <si>
    <t>Most modern boards use JST XH connectors for fan, stepper, thermistor, and endstop connections, but be sure to check the documentation for your board.</t>
  </si>
  <si>
    <t>https://www.aliexpress.com/item/32963843207.html</t>
  </si>
  <si>
    <t>https://s.click.aliexpress.com/e/_dZtuHpY</t>
  </si>
  <si>
    <t>https://www.amazon.com/dp/B015Y6JOUG</t>
  </si>
  <si>
    <t>JST-XH Connector Plug 4 Position</t>
  </si>
  <si>
    <t>JST-XH Connector Plug 3 Position</t>
  </si>
  <si>
    <t>JST-XH Connector Plug 2 Position</t>
  </si>
  <si>
    <t>22AWG PTFE wire (250ft total)</t>
  </si>
  <si>
    <t>https://www.aliexpress.com/item/4000703245035.html?spm=a2g0s.9042311.0.0.27424c4dRd7FIZ</t>
  </si>
  <si>
    <t>https://s.click.aliexpress.com/e/_AO1X1S</t>
  </si>
  <si>
    <t>18AWG Silicone Cable (10ft total)</t>
  </si>
  <si>
    <t>Since Lian has 4-6 conductor ribbon cable in a few difference sizes, makes wiring a bit easier through the cable chains</t>
  </si>
  <si>
    <t>Striveday</t>
  </si>
  <si>
    <t>https://www.amazon.com/gp/product/B01LH1G2IE/</t>
  </si>
  <si>
    <t>https://www.aliexpress.com/item/30-28-26-24-22-20-18awg-5-colors-Flexible-Silicone-Wire-Tinned-Copper-line-5/32872395185.html</t>
  </si>
  <si>
    <t>IGUS E2-15-10-028-0 Chain</t>
  </si>
  <si>
    <t>IGUS E2-150-10-12PZ Chain Ends</t>
  </si>
  <si>
    <t>IGUS E2i-10-10-018-0 Chain</t>
  </si>
  <si>
    <t>IGUS E2-100-10-12PZ Chain Ends</t>
  </si>
  <si>
    <t xml:space="preserve">  ▶  PANELS</t>
  </si>
  <si>
    <t>Panels</t>
  </si>
  <si>
    <t>Bottom/Back/Electronics Bay Panels</t>
  </si>
  <si>
    <t>Michaels Craft Store (Coroplast)</t>
  </si>
  <si>
    <t>https://www.michaels.com/corrugated-board-by-creatology/M10567770.html</t>
  </si>
  <si>
    <t>MN Laser Cutting</t>
  </si>
  <si>
    <t>http://mnlasercutting.com</t>
  </si>
  <si>
    <t>Side/Front/Top Acrylic Panels</t>
  </si>
  <si>
    <t>TAP Plastics (Acrylic)</t>
  </si>
  <si>
    <t>https://www.tapplastics.com/product/plastics/cut_to_size_plastic/acrylic_sheets_clear/508</t>
  </si>
  <si>
    <t xml:space="preserve">  ▶  BUILDPLATE</t>
  </si>
  <si>
    <t>Buildplate</t>
  </si>
  <si>
    <t>Aluminum Build Plate (MIC6/ATP-5/Jig Plate/etc) (5/16in or 8mm depending on whats available in your country)</t>
  </si>
  <si>
    <t>Thicker material is fine too, just keep in mind your heat up times will greatly increase</t>
  </si>
  <si>
    <t>Clever3D.de</t>
  </si>
  <si>
    <t>https://clever3d.de/epages/7a4290fc-7c7f-46cc-9b99-eadef22228e2.sf/en_US/?ObjectPath=/Shops/7a4290fc-7c7f-46cc-9b99-eadef22228e2/Products/AluGuss8mm</t>
  </si>
  <si>
    <t>Aluminum Build Plate (MIC6/ATP-5)</t>
  </si>
  <si>
    <t>Silicone AC Heater 200x200mm</t>
  </si>
  <si>
    <t>The heater size and power rating are not critical to have exactly at spec. The mat needs to be smaller than the bed so you have room for mounting hardware and an external thermal fuse. If the mat is underpowered, it will take longer to heat your bed. If it is overpowered, you can use firmware control to have it use less power. Using an overpowered heater at max power will heat your bed faster but make it more prone to warping. Choose an AC voltage suitable for your region. you do not need a thermoSTAT</t>
  </si>
  <si>
    <t>Keenovo (120v)</t>
  </si>
  <si>
    <t>https://keenovo.store/collections/standard-keenovo-silicone-heaters/products/keenovo-square-silicone-heater-3d-printer-build-plate-heatbed-heating-pad?variant=8324020731959</t>
  </si>
  <si>
    <t>Keenovo (220v)</t>
  </si>
  <si>
    <t>https://keenovo.store/collections/standard-keenovo-silicone-heaters/products/keenovo-square-silicone-heater-3d-printer-build-plate-heatbed-heating-pad?variant=8324020764727</t>
  </si>
  <si>
    <t>Silicone AC Heater 250x250mm</t>
  </si>
  <si>
    <t>https://keenovo.store/collections/standard-keenovo-silicone-heaters/products/keenovo-square-silicone-heater-3d-printer-build-plate-heatbed-heating-pad?variant=8324020928567</t>
  </si>
  <si>
    <t>https://keenovo.store/collections/standard-keenovo-silicone-heaters/products/keenovo-square-silicone-heater-3d-printer-build-plate-heatbed-heating-pad?variant=8324020961335</t>
  </si>
  <si>
    <t>Silicone AC Heater 300x300mm</t>
  </si>
  <si>
    <t>https://keenovo.store/collections/standard-keenovo-silicone-heaters/products/keenovo-square-silicone-heater-3d-printer-build-plate-heatbed-heating-pad?variant=8324021092407</t>
  </si>
  <si>
    <t>https://keenovo.store/collections/standard-keenovo-silicone-heaters/products/keenovo-square-silicone-heater-3d-printer-build-plate-heatbed-heating-pad?variant=8324021125175</t>
  </si>
  <si>
    <t>PEI + 3M 468P (200MP)</t>
  </si>
  <si>
    <t>CSHyde (Trim)</t>
  </si>
  <si>
    <t>https://catalog.cshyde.com/item/pei-ultem/int-surface-10-mil-ultem-pei-w-3m-acrylic-adhesive/36-10a-3d-9-84-12-40</t>
  </si>
  <si>
    <t>Mueller (Trim, includes adhesive)</t>
  </si>
  <si>
    <t>https://www.muellerbestellung.de/Ultem-1000-Schwarz-030-mm-dick-300-x-300-mm-Selbstklebend</t>
  </si>
  <si>
    <t>CSHyde</t>
  </si>
  <si>
    <t>https://catalog.cshyde.com/item/pei-ultem/int-surface-10-mil-ultem-pei-w-3m-acrylic-adhesive/36-10a-3d-12x12</t>
  </si>
  <si>
    <t>Mueller (includes adhesive)</t>
  </si>
  <si>
    <t>https://catalog.cshyde.com/item/pei-ultem/int-surface-10-mil-ultem-pei-w-3m-acrylic-adhesive/36-10a-3d-14x14</t>
  </si>
  <si>
    <t>https://www.muellerbestellung.de/Ultem-1000-Schwarz-030-mm-dick-350-x-350-mm-Selbstklebend</t>
  </si>
  <si>
    <t>Magnetic Sheet + PEI (optional)</t>
  </si>
  <si>
    <t>https://www.aliexpress.us/item/2251832800625551.html?</t>
  </si>
  <si>
    <t>ESTIMATED TOTAL (enter unit prices in column L)  →</t>
  </si>
  <si>
    <t>Voron 2.4 BOM Tracker – Instructions</t>
  </si>
  <si>
    <t>HOW TO USE</t>
  </si>
  <si>
    <t>1. This tracker is built directly from the official Voron 2.4 Sourcing Guide (vorondesign.com/sourcing_guide?model=V2.4) — all vendor links are the actual source guide links.</t>
  </si>
  <si>
    <t>2. The Size column shows which build size the row applies to (250³, 300³, 350³, or All).</t>
  </si>
  <si>
    <t>3. Vendor columns 1-3 are clickable hyperlinks to the specific product page recommended by the Voron team.</t>
  </si>
  <si>
    <t>4. Enter your unit price in column L. Column M auto-calculates the line total.</t>
  </si>
  <si>
    <t>5. Use the Status dropdown (col N): Not Started → Researching → Ordered → Received.</t>
  </si>
  <si>
    <t>IMPORTANT: BOM vs SOURCING GUIDE</t>
  </si>
  <si>
    <t>The Sourcing Guide lists vendors but has APPROXIMATE/GENERAL quantities only.</t>
  </si>
  <si>
    <t>Always generate your customized BOM from the Voron Configurator (vorondesign.com/voron2.4) before ordering — it gives exact quantities for your specific size and options.</t>
  </si>
  <si>
    <t>→  Configurator:    https://vorondesign.com/voron2.4</t>
  </si>
  <si>
    <t>→  Sourcing Guide:  https://vorondesign.com/sourcing_guide?model=V2.4</t>
  </si>
  <si>
    <t>→  Documentation:   https://docs.vorondesign.com</t>
  </si>
  <si>
    <t>→  Discord:         https://discord.gg/voron</t>
  </si>
  <si>
    <t>TIPS</t>
  </si>
  <si>
    <t>• Links starting with s.click.aliexpress.com are affiliate links from the Voron team — the product is the same, they just earn a small commission.</t>
  </si>
  <si>
    <t>• For linear rails, pay close attention to the length — it is NOT the same as your build size. Use the Configurator notes to get the right length.</t>
  </si>
  <si>
    <t>• Buy 10-20% extra on fasteners, heat-set inserts, and T-nuts.</t>
  </si>
  <si>
    <t>• Misumi extrusion part numbers in the Configurator BOM are exact — enter them directly on us.misumi-ec.com.</t>
  </si>
  <si>
    <t>• GATES belts are required for all open-loop belts. SDP-SI (US) or Trianglelab (AliExpress) are the recommended sources.</t>
  </si>
  <si>
    <t>• For the SSR: Panasonic AQA211VL, Omron G3NA-210B, or Crydom D2425/84134000 are all acceptable. Fotek SSRs are NOT recommended.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</si>
</sst>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1" x14ac:knownFonts="1">
    <font>
      <sz val="11"/>
      <color theme="1"/>
      <name val="Calibri"/>
      <family val="2"/>
      <scheme val="minor"/>
    </font>
    <font>
      <b/>
      <sz val="16"/>
      <color rgb="FFFFFFFF"/>
      <name val="Arial"/>
      <family val="2"/>
    </font>
    <font>
      <i/>
      <sz val="9"/>
      <color rgb="FFCCCCDD"/>
      <name val="Arial"/>
      <family val="2"/>
    </font>
    <font>
      <b/>
      <sz val="10"/>
      <color rgb="FFFFFFFF"/>
      <name val="Arial"/>
      <family val="2"/>
    </font>
    <font>
      <b/>
      <sz val="11"/>
      <color rgb="FFFFD700"/>
      <name val="Arial"/>
      <family val="2"/>
    </font>
    <font>
      <sz val="10"/>
      <color rgb="FF000000"/>
      <name val="Arial"/>
      <family val="2"/>
    </font>
    <font>
      <u/>
      <sz val="10"/>
      <color rgb="FF1155CC"/>
      <name val="Arial"/>
      <family val="2"/>
    </font>
    <font>
      <sz val="8"/>
      <color rgb="FF777788"/>
      <name val="Arial"/>
      <family val="2"/>
    </font>
    <font>
      <b/>
      <sz val="12"/>
      <color rgb="FFFFD700"/>
      <name val="Arial"/>
      <family val="2"/>
    </font>
    <font>
      <b/>
      <sz val="14"/>
      <color rgb="FFFFFFFF"/>
      <name val="Arial"/>
      <family val="2"/>
    </font>
    <font>
      <b/>
      <sz val="12"/>
      <color rgb="FFFFFFFF"/>
      <name val="Arial"/>
      <family val="2"/>
    </font>
  </fonts>
  <fills count="9">
    <fill>
      <patternFill patternType="none"/>
    </fill>
    <fill>
      <patternFill patternType="gray125"/>
    </fill>
    <fill>
      <patternFill patternType="solid">
        <fgColor rgb="FF1A1A2E"/>
      </patternFill>
    </fill>
    <fill>
      <patternFill patternType="solid">
        <fgColor rgb="FF0D0D1A"/>
      </patternFill>
    </fill>
    <fill>
      <patternFill patternType="solid">
        <fgColor rgb="FF0F3460"/>
      </patternFill>
    </fill>
    <fill>
      <patternFill patternType="solid">
        <fgColor rgb="FF16213E"/>
      </patternFill>
    </fill>
    <fill>
      <patternFill patternType="solid">
        <fgColor rgb="FFFFFFFF"/>
      </patternFill>
    </fill>
    <fill>
      <patternFill patternType="solid">
        <fgColor rgb="FFFFFFF0"/>
      </patternFill>
    </fill>
    <fill>
      <patternFill patternType="solid">
        <fgColor rgb="FFF0F4FF"/>
      </patternFill>
    </fill>
  </fills>
  <borders count="2">
    <border>
      <left/>
      <right/>
      <top/>
      <bottom/>
      <diagonal/>
    </border>
    <border>
      <left style="thin">
        <color rgb="FFAAAACC"/>
      </left>
      <right style="thin">
        <color rgb="FFAAAACC"/>
      </right>
      <top style="thin">
        <color rgb="FFAAAACC"/>
      </top>
      <bottom style="thin">
        <color rgb="FFAAAACC"/>
      </bottom>
      <diagonal/>
    </border>
  </borders>
  <cellStyleXfs count="1">
    <xf numFmtId="0" fontId="0" fillId="0" borderId="0"/>
  </cellStyleXfs>
  <cellXfs count="23">
    <xf numFmtId="0" fontId="0" fillId="0" borderId="0" xfId="0"/>
    <xf numFmtId="0" fontId="3" fillId="4" borderId="1" xfId="0" applyFont="1" applyFill="1" applyBorder="1" applyAlignment="1">
      <alignment horizontal="center" vertical="center" wrapText="1"/>
    </xf>
    <xf numFmtId="0" fontId="5" fillId="6" borderId="1" xfId="0" applyFont="1" applyFill="1" applyBorder="1" applyAlignment="1">
      <alignment vertical="center"/>
    </xf>
    <xf numFmtId="0" fontId="5" fillId="6" borderId="1" xfId="0" applyFont="1" applyFill="1" applyBorder="1" applyAlignment="1">
      <alignment vertical="center" wrapText="1"/>
    </xf>
    <xf numFmtId="0" fontId="5" fillId="6" borderId="1" xfId="0" applyFont="1" applyFill="1" applyBorder="1" applyAlignment="1">
      <alignment horizontal="center" vertical="center"/>
    </xf>
    <xf numFmtId="0" fontId="6" fillId="6" borderId="1" xfId="0" applyFont="1" applyFill="1" applyBorder="1" applyAlignment="1">
      <alignment vertical="center"/>
    </xf>
    <xf numFmtId="0" fontId="7" fillId="6" borderId="1" xfId="0" applyFont="1" applyFill="1" applyBorder="1" applyAlignment="1">
      <alignment vertical="center"/>
    </xf>
    <xf numFmtId="0" fontId="5" fillId="7" borderId="1" xfId="0" applyFont="1" applyFill="1" applyBorder="1" applyAlignment="1">
      <alignment vertical="center"/>
    </xf>
    <xf numFmtId="0" fontId="5" fillId="8" borderId="1" xfId="0" applyFont="1" applyFill="1" applyBorder="1" applyAlignment="1">
      <alignment vertical="center"/>
    </xf>
    <xf numFmtId="0" fontId="5" fillId="8" borderId="1" xfId="0" applyFont="1" applyFill="1" applyBorder="1" applyAlignment="1">
      <alignment vertical="center" wrapText="1"/>
    </xf>
    <xf numFmtId="0" fontId="5" fillId="8" borderId="1" xfId="0" applyFont="1" applyFill="1" applyBorder="1" applyAlignment="1">
      <alignment horizontal="center" vertical="center"/>
    </xf>
    <xf numFmtId="0" fontId="6" fillId="8" borderId="1" xfId="0" applyFont="1" applyFill="1" applyBorder="1" applyAlignment="1">
      <alignment vertical="center"/>
    </xf>
    <xf numFmtId="0" fontId="7" fillId="8" borderId="1" xfId="0" applyFont="1" applyFill="1" applyBorder="1" applyAlignment="1">
      <alignment vertical="center"/>
    </xf>
    <xf numFmtId="0" fontId="0" fillId="2" borderId="1" xfId="0" applyFill="1" applyBorder="1"/>
    <xf numFmtId="164" fontId="8" fillId="2" borderId="1" xfId="0" applyNumberFormat="1" applyFont="1" applyFill="1" applyBorder="1"/>
    <xf numFmtId="0" fontId="9" fillId="2" borderId="0" xfId="0" applyFont="1" applyFill="1" applyAlignment="1">
      <alignment vertical="center" wrapText="1"/>
    </xf>
    <xf numFmtId="0" fontId="5" fillId="6" borderId="0" xfId="0" applyFont="1" applyFill="1" applyAlignment="1">
      <alignment vertical="center" wrapText="1"/>
    </xf>
    <xf numFmtId="0" fontId="10" fillId="4" borderId="0" xfId="0" applyFont="1" applyFill="1" applyAlignment="1">
      <alignment vertical="center" wrapText="1"/>
    </xf>
    <xf numFmtId="0" fontId="4" fillId="5" borderId="1" xfId="0" applyFont="1" applyFill="1" applyBorder="1" applyAlignment="1">
      <alignment vertical="center"/>
    </xf>
    <xf numFmtId="0" fontId="0" fillId="0" borderId="0" xfId="0"/>
    <xf numFmtId="0" fontId="3" fillId="2" borderId="1" xfId="0" applyFont="1" applyFill="1" applyBorder="1" applyAlignment="1">
      <alignment horizontal="right" vertical="center"/>
    </xf>
    <xf numFmtId="0" fontId="1" fillId="2" borderId="0" xfId="0" applyFont="1" applyFill="1" applyAlignment="1">
      <alignment horizontal="center" vertical="center"/>
    </xf>
    <xf numFmtId="0" fontId="2" fillId="3"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aliexpress.com/item/32726640438.html" TargetMode="External"/><Relationship Id="rId21" Type="http://schemas.openxmlformats.org/officeDocument/2006/relationships/hyperlink" Target="https://www.boltdepot.com/Product-Details.aspx?product=13639" TargetMode="External"/><Relationship Id="rId42" Type="http://schemas.openxmlformats.org/officeDocument/2006/relationships/hyperlink" Target="https://www.boltdepot.com/Product-Details.aspx?product=4783" TargetMode="External"/><Relationship Id="rId63" Type="http://schemas.openxmlformats.org/officeDocument/2006/relationships/hyperlink" Target="https://www.filastruder.com/products/gates-2gt-idler" TargetMode="External"/><Relationship Id="rId84" Type="http://schemas.openxmlformats.org/officeDocument/2006/relationships/hyperlink" Target="https://www.robotdigg.com/product/1314/Black-anodized-linear-rail-7,-9,-12-and-15" TargetMode="External"/><Relationship Id="rId138" Type="http://schemas.openxmlformats.org/officeDocument/2006/relationships/hyperlink" Target="https://www.aliexpress.com/item/32951137017.html" TargetMode="External"/><Relationship Id="rId159" Type="http://schemas.openxmlformats.org/officeDocument/2006/relationships/hyperlink" Target="https://www.digikey.com/products/en?keywords=02-08-1002" TargetMode="External"/><Relationship Id="rId170" Type="http://schemas.openxmlformats.org/officeDocument/2006/relationships/hyperlink" Target="https://www.tapplastics.com/product/plastics/cut_to_size_plastic/acrylic_sheets_clear/508" TargetMode="External"/><Relationship Id="rId107" Type="http://schemas.openxmlformats.org/officeDocument/2006/relationships/hyperlink" Target="https://www.digikey.com/product-detail/en/mean-well-usa-inc/RS-25-5/1866-4145-ND/7706180" TargetMode="External"/><Relationship Id="rId11" Type="http://schemas.openxmlformats.org/officeDocument/2006/relationships/hyperlink" Target="https://www.boltdepot.com/Product-Details.aspx?product=15648" TargetMode="External"/><Relationship Id="rId32" Type="http://schemas.openxmlformats.org/officeDocument/2006/relationships/hyperlink" Target="https://www.mcmaster.com/99397A267/" TargetMode="External"/><Relationship Id="rId53" Type="http://schemas.openxmlformats.org/officeDocument/2006/relationships/hyperlink" Target="http://shop.sdp-si.com/catalog/product/?id=A_6R51MC090" TargetMode="External"/><Relationship Id="rId74" Type="http://schemas.openxmlformats.org/officeDocument/2006/relationships/hyperlink" Target="http://www.zyltech.com/zyltech-mgn9-linear-rail-with-single-or-double-carriage-block/" TargetMode="External"/><Relationship Id="rId128" Type="http://schemas.openxmlformats.org/officeDocument/2006/relationships/hyperlink" Target="https://www.amazon.com/AmazonBasics-Type-C-USB-Male-Cable/dp/B01GGKYKQM/" TargetMode="External"/><Relationship Id="rId149" Type="http://schemas.openxmlformats.org/officeDocument/2006/relationships/hyperlink" Target="https://www.digikey.com/products/en?keywords=43030-0007" TargetMode="External"/><Relationship Id="rId5" Type="http://schemas.openxmlformats.org/officeDocument/2006/relationships/hyperlink" Target="https://makeshaper.com/product/red-abs-1-75-mm-filament/" TargetMode="External"/><Relationship Id="rId95" Type="http://schemas.openxmlformats.org/officeDocument/2006/relationships/hyperlink" Target="https://www.aliexpress.com/item/2251832663198775.html" TargetMode="External"/><Relationship Id="rId160" Type="http://schemas.openxmlformats.org/officeDocument/2006/relationships/hyperlink" Target="https://www.aliexpress.com/item/32963843207.html" TargetMode="External"/><Relationship Id="rId181" Type="http://schemas.openxmlformats.org/officeDocument/2006/relationships/hyperlink" Target="https://www.muellerbestellung.de/Ultem-1000-Schwarz-030-mm-dick-300-x-300-mm-Selbstklebend" TargetMode="External"/><Relationship Id="rId22" Type="http://schemas.openxmlformats.org/officeDocument/2006/relationships/hyperlink" Target="https://www.mcmaster.com/91290A123" TargetMode="External"/><Relationship Id="rId43" Type="http://schemas.openxmlformats.org/officeDocument/2006/relationships/hyperlink" Target="https://www.mcmaster.com/90591A250" TargetMode="External"/><Relationship Id="rId64" Type="http://schemas.openxmlformats.org/officeDocument/2006/relationships/hyperlink" Target="https://e3d-online.com/gates-powergrip-toothed-idler-9mm" TargetMode="External"/><Relationship Id="rId118" Type="http://schemas.openxmlformats.org/officeDocument/2006/relationships/hyperlink" Target="https://www.amazon.com/dp/B07DB5H6K1" TargetMode="External"/><Relationship Id="rId139" Type="http://schemas.openxmlformats.org/officeDocument/2006/relationships/hyperlink" Target="https://e3d-online.com/products/threaded-bowden-coupling" TargetMode="External"/><Relationship Id="rId85" Type="http://schemas.openxmlformats.org/officeDocument/2006/relationships/hyperlink" Target="https://www.aliexpress.com/item/2251832643511407.html?" TargetMode="External"/><Relationship Id="rId150" Type="http://schemas.openxmlformats.org/officeDocument/2006/relationships/hyperlink" Target="https://www.digikey.com/products/en?keywords=43645-0400" TargetMode="External"/><Relationship Id="rId171" Type="http://schemas.openxmlformats.org/officeDocument/2006/relationships/hyperlink" Target="https://clever3d.de/epages/7a4290fc-7c7f-46cc-9b99-eadef22228e2.sf/en_US/?ObjectPath=/Shops/7a4290fc-7c7f-46cc-9b99-eadef22228e2/Products/AluGuss8mm" TargetMode="External"/><Relationship Id="rId12" Type="http://schemas.openxmlformats.org/officeDocument/2006/relationships/hyperlink" Target="https://www.mcmaster.com/91239A232" TargetMode="External"/><Relationship Id="rId33" Type="http://schemas.openxmlformats.org/officeDocument/2006/relationships/hyperlink" Target="https://www.aliexpress.com/item/32748428213.html" TargetMode="External"/><Relationship Id="rId108" Type="http://schemas.openxmlformats.org/officeDocument/2006/relationships/hyperlink" Target="https://www.digikey.com/products/en?keywords=wrg32f2fbbnn" TargetMode="External"/><Relationship Id="rId129" Type="http://schemas.openxmlformats.org/officeDocument/2006/relationships/hyperlink" Target="https://www.aliexpress.com/item/4000470048293.html?" TargetMode="External"/><Relationship Id="rId54" Type="http://schemas.openxmlformats.org/officeDocument/2006/relationships/hyperlink" Target="https://www.aliexpress.com/item/4000034021834.html" TargetMode="External"/><Relationship Id="rId75" Type="http://schemas.openxmlformats.org/officeDocument/2006/relationships/hyperlink" Target="https://www.robotdigg.com/product/1314/Black-anodized-linear-rail-7,-9,-12-and-15" TargetMode="External"/><Relationship Id="rId96" Type="http://schemas.openxmlformats.org/officeDocument/2006/relationships/hyperlink" Target="https://www.digikey.com/en/products/detail/panasonic-industrial-automation-sales/GX-HL15B/3896951" TargetMode="External"/><Relationship Id="rId140" Type="http://schemas.openxmlformats.org/officeDocument/2006/relationships/hyperlink" Target="https://www.mcmaster.com/5449K171/" TargetMode="External"/><Relationship Id="rId161" Type="http://schemas.openxmlformats.org/officeDocument/2006/relationships/hyperlink" Target="https://s.click.aliexpress.com/e/_dZtuHpY" TargetMode="External"/><Relationship Id="rId182" Type="http://schemas.openxmlformats.org/officeDocument/2006/relationships/hyperlink" Target="https://catalog.cshyde.com/item/pei-ultem/int-surface-10-mil-ultem-pei-w-3m-acrylic-adhesive/36-10a-3d-14x14" TargetMode="External"/><Relationship Id="rId6" Type="http://schemas.openxmlformats.org/officeDocument/2006/relationships/hyperlink" Target="https://pif.voron.dev/" TargetMode="External"/><Relationship Id="rId23" Type="http://schemas.openxmlformats.org/officeDocument/2006/relationships/hyperlink" Target="https://www.boltdepot.com/Product-Details.aspx?product=13638" TargetMode="External"/><Relationship Id="rId119" Type="http://schemas.openxmlformats.org/officeDocument/2006/relationships/hyperlink" Target="https://www.aliexpress.com/item/1005001464730686.html" TargetMode="External"/><Relationship Id="rId44" Type="http://schemas.openxmlformats.org/officeDocument/2006/relationships/hyperlink" Target="https://us.misumi-ec.com/vona2/detail/110302247910/" TargetMode="External"/><Relationship Id="rId60" Type="http://schemas.openxmlformats.org/officeDocument/2006/relationships/hyperlink" Target="https://www.filastruder.com/products/gates-2gt-idler" TargetMode="External"/><Relationship Id="rId65" Type="http://schemas.openxmlformats.org/officeDocument/2006/relationships/hyperlink" Target="https://www.aliexpress.com/item/32782605159.html" TargetMode="External"/><Relationship Id="rId81" Type="http://schemas.openxmlformats.org/officeDocument/2006/relationships/hyperlink" Target="https://www.robotdigg.com/product/1314/Black-anodized-linear-rail-7,-9,-12-and-15" TargetMode="External"/><Relationship Id="rId86" Type="http://schemas.openxmlformats.org/officeDocument/2006/relationships/hyperlink" Target="https://www.zyltech.com/zyltech-mgn12-h-type-linear-rail-with-single-or-double-carriage-block/" TargetMode="External"/><Relationship Id="rId130" Type="http://schemas.openxmlformats.org/officeDocument/2006/relationships/hyperlink" Target="https://smile.amazon.com/BIQU-Printer-Smoothieboard-Compatible-Ramps1-4/dp/B082HCFL34/" TargetMode="External"/><Relationship Id="rId135" Type="http://schemas.openxmlformats.org/officeDocument/2006/relationships/hyperlink" Target="https://www.aliexpress.com/item/1005001408141263.html" TargetMode="External"/><Relationship Id="rId151" Type="http://schemas.openxmlformats.org/officeDocument/2006/relationships/hyperlink" Target="https://www.digikey.com/products/en?keywords=43645-0300" TargetMode="External"/><Relationship Id="rId156" Type="http://schemas.openxmlformats.org/officeDocument/2006/relationships/hyperlink" Target="https://www.digikey.com/products/en?keywords=50-84-2030" TargetMode="External"/><Relationship Id="rId177" Type="http://schemas.openxmlformats.org/officeDocument/2006/relationships/hyperlink" Target="https://keenovo.store/collections/standard-keenovo-silicone-heaters/products/keenovo-square-silicone-heater-3d-printer-build-plate-heatbed-heating-pad?variant=8324021125175" TargetMode="External"/><Relationship Id="rId172" Type="http://schemas.openxmlformats.org/officeDocument/2006/relationships/hyperlink" Target="https://keenovo.store/collections/standard-keenovo-silicone-heaters/products/keenovo-square-silicone-heater-3d-printer-build-plate-heatbed-heating-pad?variant=8324020731959" TargetMode="External"/><Relationship Id="rId13" Type="http://schemas.openxmlformats.org/officeDocument/2006/relationships/hyperlink" Target="https://www.boltdepot.com/Product-Details.aspx?product=15646" TargetMode="External"/><Relationship Id="rId18" Type="http://schemas.openxmlformats.org/officeDocument/2006/relationships/hyperlink" Target="https://www.mcmaster.com/91290A136" TargetMode="External"/><Relationship Id="rId39" Type="http://schemas.openxmlformats.org/officeDocument/2006/relationships/hyperlink" Target="https://www.boltdepot.com/Product-Details.aspx?product=4513" TargetMode="External"/><Relationship Id="rId109" Type="http://schemas.openxmlformats.org/officeDocument/2006/relationships/hyperlink" Target="https://www.mouser.com/ProductDetail/ZF/WRG32F2BBRLN?qs=%2Fha2pyFadugTPgk3aI89ZNgIRYXUDJ2iew%252BR%252BPzJE%2FSagvnd6sid0w%3D%3D&amp;utm_source=octopart&amp;utm_medium=aggregator&amp;utm_campaign=540-WRG32F2BBRLN&amp;utm_content=ZF%20Electronics" TargetMode="External"/><Relationship Id="rId34" Type="http://schemas.openxmlformats.org/officeDocument/2006/relationships/hyperlink" Target="http://s.click.aliexpress.com/e/lZCUQlFa" TargetMode="External"/><Relationship Id="rId50" Type="http://schemas.openxmlformats.org/officeDocument/2006/relationships/hyperlink" Target="https://www.aliexpress.com/item/GATES-LL-2GT-3D-printer-gear-synchronous-belt-GT2-Width-6MM-9MM-High-quality-wear-resistant/32853559638.html" TargetMode="External"/><Relationship Id="rId55" Type="http://schemas.openxmlformats.org/officeDocument/2006/relationships/hyperlink" Target="http://shop.sdp-si.com/catalog/product/?id=A%206R51M094060" TargetMode="External"/><Relationship Id="rId76" Type="http://schemas.openxmlformats.org/officeDocument/2006/relationships/hyperlink" Target="https://www.aliexpress.com/item/32773296501.html?spm=2114.12010612.8148356.4.46a27cbep2UDWu" TargetMode="External"/><Relationship Id="rId97" Type="http://schemas.openxmlformats.org/officeDocument/2006/relationships/hyperlink" Target="https://www.digikey.com/en/products/detail/omron-automation-and-safety/tl-q5mc2/2669828" TargetMode="External"/><Relationship Id="rId104" Type="http://schemas.openxmlformats.org/officeDocument/2006/relationships/hyperlink" Target="https://www.amazon.com/STEPPERONLINE-Stepper-Bipolar-Connector-compatible/dp/B00PNEQKC0/ref=sr_1_4?crid=3HWFT2JRA2OQE&amp;dchild=1&amp;keywords=17hs19-2004s1&amp;qid=1599500107&amp;s=industrial&amp;sprefix=17hs19%2Cindustrial%2C156&amp;sr=1-4" TargetMode="External"/><Relationship Id="rId120" Type="http://schemas.openxmlformats.org/officeDocument/2006/relationships/hyperlink" Target="https://www.amazon.com/dp/B07L2YH79Y" TargetMode="External"/><Relationship Id="rId125" Type="http://schemas.openxmlformats.org/officeDocument/2006/relationships/hyperlink" Target="https://www.digikey.com/en/products/detail/idec/BAA1000/8344276" TargetMode="External"/><Relationship Id="rId141" Type="http://schemas.openxmlformats.org/officeDocument/2006/relationships/hyperlink" Target="https://www.aliexpress.com/item/32885016096.html" TargetMode="External"/><Relationship Id="rId146" Type="http://schemas.openxmlformats.org/officeDocument/2006/relationships/hyperlink" Target="https://amzn.to/2mzoRjl" TargetMode="External"/><Relationship Id="rId167" Type="http://schemas.openxmlformats.org/officeDocument/2006/relationships/hyperlink" Target="https://www.aliexpress.com/item/30-28-26-24-22-20-18awg-5-colors-Flexible-Silicone-Wire-Tinned-Copper-line-5/32872395185.html" TargetMode="External"/><Relationship Id="rId7" Type="http://schemas.openxmlformats.org/officeDocument/2006/relationships/hyperlink" Target="https://www.boltdepot.com/Product-Details.aspx?product=6527" TargetMode="External"/><Relationship Id="rId71" Type="http://schemas.openxmlformats.org/officeDocument/2006/relationships/hyperlink" Target="https://www.aliexpress.com/item/1pcs-SFC5-WCS5mm-L500mm-chrome-plated-linear-rod-round-Linear-Motion-Shaft-for-CNC-XYZ-can/1739093502.html" TargetMode="External"/><Relationship Id="rId92" Type="http://schemas.openxmlformats.org/officeDocument/2006/relationships/hyperlink" Target="https://www.aliexpress.com/item/32996184575.html?" TargetMode="External"/><Relationship Id="rId162" Type="http://schemas.openxmlformats.org/officeDocument/2006/relationships/hyperlink" Target="https://www.amazon.com/dp/B015Y6JOUG" TargetMode="External"/><Relationship Id="rId183" Type="http://schemas.openxmlformats.org/officeDocument/2006/relationships/hyperlink" Target="https://www.muellerbestellung.de/Ultem-1000-Schwarz-030-mm-dick-350-x-350-mm-Selbstklebend" TargetMode="External"/><Relationship Id="rId2" Type="http://schemas.openxmlformats.org/officeDocument/2006/relationships/hyperlink" Target="https://makeshaper.com/product/black-abs-1-75-mm-filament/" TargetMode="External"/><Relationship Id="rId29" Type="http://schemas.openxmlformats.org/officeDocument/2006/relationships/hyperlink" Target="https://www.boltdepot.com/Product-Details.aspx?product=13249" TargetMode="External"/><Relationship Id="rId24" Type="http://schemas.openxmlformats.org/officeDocument/2006/relationships/hyperlink" Target="https://www.mcmaster.com/91290A120" TargetMode="External"/><Relationship Id="rId40" Type="http://schemas.openxmlformats.org/officeDocument/2006/relationships/hyperlink" Target="https://www.mcmaster.com/93475A210" TargetMode="External"/><Relationship Id="rId45" Type="http://schemas.openxmlformats.org/officeDocument/2006/relationships/hyperlink" Target="https://www.aliexpress.com/item/50PCS-20-series-Roll-in-T-Spring-Nuts-M3-M4-M5-M6-For-2020-Aluminum-Profiles/32805163712.html" TargetMode="External"/><Relationship Id="rId66" Type="http://schemas.openxmlformats.org/officeDocument/2006/relationships/hyperlink" Target="https://www.aliexpress.com/item/33001186278.html" TargetMode="External"/><Relationship Id="rId87" Type="http://schemas.openxmlformats.org/officeDocument/2006/relationships/hyperlink" Target="https://www.robotdigg.com/product/1314/Black-anodized-linear-rail-7,-9,-12-and-15" TargetMode="External"/><Relationship Id="rId110" Type="http://schemas.openxmlformats.org/officeDocument/2006/relationships/hyperlink" Target="https://www.digikey.com/products/en?keywords=0232008.mxp" TargetMode="External"/><Relationship Id="rId115" Type="http://schemas.openxmlformats.org/officeDocument/2006/relationships/hyperlink" Target="https://www.mouser.com/ProductDetail/TE-Connectivity-PB/10EGG1-1?qs=vcjNRp8H9z1CsIf%2F5OknUw%3D%3D" TargetMode="External"/><Relationship Id="rId131" Type="http://schemas.openxmlformats.org/officeDocument/2006/relationships/hyperlink" Target="https://www.aliexpress.com/item/33029587820.html" TargetMode="External"/><Relationship Id="rId136" Type="http://schemas.openxmlformats.org/officeDocument/2006/relationships/hyperlink" Target="https://www.aliexpress.com/item/32811240720.html" TargetMode="External"/><Relationship Id="rId157" Type="http://schemas.openxmlformats.org/officeDocument/2006/relationships/hyperlink" Target="https://www.digikey.com/products/en?keywords=50-84-1030" TargetMode="External"/><Relationship Id="rId178" Type="http://schemas.openxmlformats.org/officeDocument/2006/relationships/hyperlink" Target="https://catalog.cshyde.com/item/pei-ultem/int-surface-10-mil-ultem-pei-w-3m-acrylic-adhesive/36-10a-3d-9-84-12-40" TargetMode="External"/><Relationship Id="rId61" Type="http://schemas.openxmlformats.org/officeDocument/2006/relationships/hyperlink" Target="https://e3d-online.com/gates-powergripr-toothed-idler-6mm" TargetMode="External"/><Relationship Id="rId82" Type="http://schemas.openxmlformats.org/officeDocument/2006/relationships/hyperlink" Target="https://www.aliexpress.com/item/2251832643511407.html?" TargetMode="External"/><Relationship Id="rId152" Type="http://schemas.openxmlformats.org/officeDocument/2006/relationships/hyperlink" Target="https://www.digikey.com/products/en?keywords=43645-0200" TargetMode="External"/><Relationship Id="rId173" Type="http://schemas.openxmlformats.org/officeDocument/2006/relationships/hyperlink" Target="https://keenovo.store/collections/standard-keenovo-silicone-heaters/products/keenovo-square-silicone-heater-3d-printer-build-plate-heatbed-heating-pad?variant=8324020764727" TargetMode="External"/><Relationship Id="rId19" Type="http://schemas.openxmlformats.org/officeDocument/2006/relationships/hyperlink" Target="https://www.boltdepot.com/Product-Details.aspx?product=13641" TargetMode="External"/><Relationship Id="rId14" Type="http://schemas.openxmlformats.org/officeDocument/2006/relationships/hyperlink" Target="https://www.mcmaster.com/91239A224" TargetMode="External"/><Relationship Id="rId30" Type="http://schemas.openxmlformats.org/officeDocument/2006/relationships/hyperlink" Target="https://www.boltdepot.com/Product-Details.aspx?product=13334" TargetMode="External"/><Relationship Id="rId35" Type="http://schemas.openxmlformats.org/officeDocument/2006/relationships/hyperlink" Target="https://www.google.com/url?q=https://www.aliexpress.com/item/4000232858343.html?spm%3Da2g0s.9042311.0.0.21164c4dGhWHhY&amp;sa=D&amp;ust=1586482614596000&amp;usg=AFQjCNFebtWYWJj3SUGijp6uSvnof_BzBg" TargetMode="External"/><Relationship Id="rId56" Type="http://schemas.openxmlformats.org/officeDocument/2006/relationships/hyperlink" Target="https://www.aliexpress.com/item/Sale-10pcs-GT2-Timing-Pulley-20teeth-Bore-6-35mm-1-4-fit-for-GT2-belt-Width/32226562320.html" TargetMode="External"/><Relationship Id="rId77" Type="http://schemas.openxmlformats.org/officeDocument/2006/relationships/hyperlink" Target="http://www.zyltech.com/zyltech-mgn9-linear-rail-with-single-or-double-carriage-block/" TargetMode="External"/><Relationship Id="rId100" Type="http://schemas.openxmlformats.org/officeDocument/2006/relationships/hyperlink" Target="https://www.digikey.com/en/products/detail/panasonic-electric-works/AQA211VL/2364682" TargetMode="External"/><Relationship Id="rId105" Type="http://schemas.openxmlformats.org/officeDocument/2006/relationships/hyperlink" Target="https://www.digikey.com/products/en?keywords=LRS-200-24" TargetMode="External"/><Relationship Id="rId126" Type="http://schemas.openxmlformats.org/officeDocument/2006/relationships/hyperlink" Target="https://www.arrow.com/en/products/raspberrypi4/raspberry-pi-foundation" TargetMode="External"/><Relationship Id="rId147" Type="http://schemas.openxmlformats.org/officeDocument/2006/relationships/hyperlink" Target="https://www.digikey.com/products/en?keywords=43031-0007" TargetMode="External"/><Relationship Id="rId168" Type="http://schemas.openxmlformats.org/officeDocument/2006/relationships/hyperlink" Target="https://www.michaels.com/corrugated-board-by-creatology/M10567770.html" TargetMode="External"/><Relationship Id="rId8" Type="http://schemas.openxmlformats.org/officeDocument/2006/relationships/hyperlink" Target="https://www.mcmaster.com/91290A196" TargetMode="External"/><Relationship Id="rId51" Type="http://schemas.openxmlformats.org/officeDocument/2006/relationships/hyperlink" Target="http://shop.sdp-si.com/catalog/product/?id=A_6R51MC060" TargetMode="External"/><Relationship Id="rId72" Type="http://schemas.openxmlformats.org/officeDocument/2006/relationships/hyperlink" Target="https://www.robotdigg.com/product/1314/Black-anodized-linear-rail-7,-9,-12-and-15" TargetMode="External"/><Relationship Id="rId93" Type="http://schemas.openxmlformats.org/officeDocument/2006/relationships/hyperlink" Target="https://www.digikey.com/en/products/detail/omron-electronics-inc-emc-div/D2F-01L/83264" TargetMode="External"/><Relationship Id="rId98" Type="http://schemas.openxmlformats.org/officeDocument/2006/relationships/hyperlink" Target="https://www.digikey.com/product-detail/en/BAT85S-TR/BAT85SCT-ND/3104371" TargetMode="External"/><Relationship Id="rId121" Type="http://schemas.openxmlformats.org/officeDocument/2006/relationships/hyperlink" Target="https://www.digikey.com/product-detail/en/orion-fans/OD6020-24HB/1053-1234-ND/2621139" TargetMode="External"/><Relationship Id="rId142" Type="http://schemas.openxmlformats.org/officeDocument/2006/relationships/hyperlink" Target="https://www.aliexpress.com/item/4000021186440.html?spm=2114.12010612.8148356.22.3f2939a11poXsq" TargetMode="External"/><Relationship Id="rId163" Type="http://schemas.openxmlformats.org/officeDocument/2006/relationships/hyperlink" Target="https://www.aliexpress.com/item/4000703245035.html?spm=a2g0s.9042311.0.0.27424c4dRd7FIZ" TargetMode="External"/><Relationship Id="rId184" Type="http://schemas.openxmlformats.org/officeDocument/2006/relationships/hyperlink" Target="https://www.aliexpress.us/item/2251832800625551.html?" TargetMode="External"/><Relationship Id="rId3" Type="http://schemas.openxmlformats.org/officeDocument/2006/relationships/hyperlink" Target="https://www.paramount-3d.com/product-page/abs-pantone-enzo-red-485c-1-75mm-1kg-filament-trrl3020485c" TargetMode="External"/><Relationship Id="rId25" Type="http://schemas.openxmlformats.org/officeDocument/2006/relationships/hyperlink" Target="https://www.boltdepot.com/Product-Details.aspx?product=13637" TargetMode="External"/><Relationship Id="rId46" Type="http://schemas.openxmlformats.org/officeDocument/2006/relationships/hyperlink" Target="https://us.misumi-ec.com/vona2/detail/110302247910/" TargetMode="External"/><Relationship Id="rId67" Type="http://schemas.openxmlformats.org/officeDocument/2006/relationships/hyperlink" Target="https://www.aliexpress.com/item/F695-2RS-Bearing-5-13-4mm-10-PCS-ABEC-1-Flanged-Miniature-F695RS-Ball-Bearings-RF/32850989216.html" TargetMode="External"/><Relationship Id="rId116" Type="http://schemas.openxmlformats.org/officeDocument/2006/relationships/hyperlink" Target="https://www.digikey.com/en/products/detail/adam-tech/IEC-GS-1-100/9831135" TargetMode="External"/><Relationship Id="rId137" Type="http://schemas.openxmlformats.org/officeDocument/2006/relationships/hyperlink" Target="https://www.aliexpress.com/item/1005001418808468.html" TargetMode="External"/><Relationship Id="rId158" Type="http://schemas.openxmlformats.org/officeDocument/2006/relationships/hyperlink" Target="https://www.digikey.com/products/en?keywords=02-08-2004" TargetMode="External"/><Relationship Id="rId20" Type="http://schemas.openxmlformats.org/officeDocument/2006/relationships/hyperlink" Target="https://www.mcmaster.com/91290A171" TargetMode="External"/><Relationship Id="rId41" Type="http://schemas.openxmlformats.org/officeDocument/2006/relationships/hyperlink" Target="https://www.boltdepot.com/Product-Details.aspx?product=4785" TargetMode="External"/><Relationship Id="rId62" Type="http://schemas.openxmlformats.org/officeDocument/2006/relationships/hyperlink" Target="https://www.aliexpress.com/item/32750492452.html" TargetMode="External"/><Relationship Id="rId83" Type="http://schemas.openxmlformats.org/officeDocument/2006/relationships/hyperlink" Target="https://www.zyltech.com/zyltech-mgn12-h-type-linear-rail-with-single-or-double-carriage-block/" TargetMode="External"/><Relationship Id="rId88" Type="http://schemas.openxmlformats.org/officeDocument/2006/relationships/hyperlink" Target="https://www.aliexpress.com/item/2251832643511407.html?" TargetMode="External"/><Relationship Id="rId111" Type="http://schemas.openxmlformats.org/officeDocument/2006/relationships/hyperlink" Target="https://www.digikey.com/en/products/detail/littelfuse-inc/0232004-MXP/778023" TargetMode="External"/><Relationship Id="rId132" Type="http://schemas.openxmlformats.org/officeDocument/2006/relationships/hyperlink" Target="https://www.aliexpress.com/item/32980210325.html?spm=a2g0o.productlist.0.0.6cee2224qobujC&amp;algo_pvid=d15b7ec7-40aa-482a-9a67-8188e5d17108&amp;algo_expid=d15b7ec7-40aa-482a-9a67-8188e5d17108-1&amp;btsid=0ab6fb8815879973153223218ec2d2&amp;ws_ab_test=searchweb0_0,searchweb201602_,searchweb201603_" TargetMode="External"/><Relationship Id="rId153" Type="http://schemas.openxmlformats.org/officeDocument/2006/relationships/hyperlink" Target="https://www.digikey.com/products/en?keywords=43640-0401" TargetMode="External"/><Relationship Id="rId174" Type="http://schemas.openxmlformats.org/officeDocument/2006/relationships/hyperlink" Target="https://keenovo.store/collections/standard-keenovo-silicone-heaters/products/keenovo-square-silicone-heater-3d-printer-build-plate-heatbed-heating-pad?variant=8324020928567" TargetMode="External"/><Relationship Id="rId179" Type="http://schemas.openxmlformats.org/officeDocument/2006/relationships/hyperlink" Target="https://www.muellerbestellung.de/Ultem-1000-Schwarz-030-mm-dick-300-x-300-mm-Selbstklebend" TargetMode="External"/><Relationship Id="rId15" Type="http://schemas.openxmlformats.org/officeDocument/2006/relationships/hyperlink" Target="https://www.boltdepot.com/Product-Details.aspx?product=18944" TargetMode="External"/><Relationship Id="rId36" Type="http://schemas.openxmlformats.org/officeDocument/2006/relationships/hyperlink" Target="https://s.click.aliexpress.com/e/_dW3Uprs" TargetMode="External"/><Relationship Id="rId57" Type="http://schemas.openxmlformats.org/officeDocument/2006/relationships/hyperlink" Target="https://www.aliexpress.com/store/product/Freeshipping-40pcs-16teeth-GT2-Timing-Pulley-Bore-5mm-fit-for-width-6mm-of-2GT-Timing/702327_1744808992.html" TargetMode="External"/><Relationship Id="rId106" Type="http://schemas.openxmlformats.org/officeDocument/2006/relationships/hyperlink" Target="https://www.digikey.com/products/en?keywords=RSP-200-24" TargetMode="External"/><Relationship Id="rId127" Type="http://schemas.openxmlformats.org/officeDocument/2006/relationships/hyperlink" Target="https://www.amazon.com/SanDisk-Ultra-microSDXC-Memory-Adapter/dp/B073JYVKNX/" TargetMode="External"/><Relationship Id="rId10" Type="http://schemas.openxmlformats.org/officeDocument/2006/relationships/hyperlink" Target="https://www.mcmaster.com/91239A236" TargetMode="External"/><Relationship Id="rId31" Type="http://schemas.openxmlformats.org/officeDocument/2006/relationships/hyperlink" Target="https://www.mcmaster.com/91239a111" TargetMode="External"/><Relationship Id="rId52" Type="http://schemas.openxmlformats.org/officeDocument/2006/relationships/hyperlink" Target="https://www.aliexpress.com/item/32987817703.html" TargetMode="External"/><Relationship Id="rId73" Type="http://schemas.openxmlformats.org/officeDocument/2006/relationships/hyperlink" Target="https://www.aliexpress.com/item/32773296501.html?spm=2114.12010612.8148356.4.46a27cbep2UDWu" TargetMode="External"/><Relationship Id="rId78" Type="http://schemas.openxmlformats.org/officeDocument/2006/relationships/hyperlink" Target="https://www.robotdigg.com/product/1314/Black-anodized-linear-rail-7,-9,-12-and-15" TargetMode="External"/><Relationship Id="rId94" Type="http://schemas.openxmlformats.org/officeDocument/2006/relationships/hyperlink" Target="https://www.digikey.com/product-detail/en/omron-electronics-inc-emc-div/D2F-5L/Z8846-ND/8593137" TargetMode="External"/><Relationship Id="rId99" Type="http://schemas.openxmlformats.org/officeDocument/2006/relationships/hyperlink" Target="https://www.digikey.com/en/products/detail/omron-automation-and-safety/G3NA-210B-UTU-DC5-24/634443?" TargetMode="External"/><Relationship Id="rId101" Type="http://schemas.openxmlformats.org/officeDocument/2006/relationships/hyperlink" Target="https://www.digikey.com/product-detail/en/sensata-crydom/D2425/CC1006-ND/139477" TargetMode="External"/><Relationship Id="rId122" Type="http://schemas.openxmlformats.org/officeDocument/2006/relationships/hyperlink" Target="https://www.aliexpress.com/item/32899594270.html" TargetMode="External"/><Relationship Id="rId143" Type="http://schemas.openxmlformats.org/officeDocument/2006/relationships/hyperlink" Target="https://www.digikey.com/products/en?keywords=19198-0006" TargetMode="External"/><Relationship Id="rId148" Type="http://schemas.openxmlformats.org/officeDocument/2006/relationships/hyperlink" Target="https://www.digikey.com/products/en?keywords=%2076650-0159" TargetMode="External"/><Relationship Id="rId164" Type="http://schemas.openxmlformats.org/officeDocument/2006/relationships/hyperlink" Target="https://s.click.aliexpress.com/e/_AO1X1S" TargetMode="External"/><Relationship Id="rId169" Type="http://schemas.openxmlformats.org/officeDocument/2006/relationships/hyperlink" Target="http://mnlasercutting.com/" TargetMode="External"/><Relationship Id="rId4" Type="http://schemas.openxmlformats.org/officeDocument/2006/relationships/hyperlink" Target="https://www.amazon.com/HATCHBOX-3D-Filament-Dimensional-Accuracy/dp/B00J0HB1YI" TargetMode="External"/><Relationship Id="rId9" Type="http://schemas.openxmlformats.org/officeDocument/2006/relationships/hyperlink" Target="https://www.boltdepot.com/Product-Details.aspx?product=15651" TargetMode="External"/><Relationship Id="rId180" Type="http://schemas.openxmlformats.org/officeDocument/2006/relationships/hyperlink" Target="https://catalog.cshyde.com/item/pei-ultem/int-surface-10-mil-ultem-pei-w-3m-acrylic-adhesive/36-10a-3d-12x12" TargetMode="External"/><Relationship Id="rId26" Type="http://schemas.openxmlformats.org/officeDocument/2006/relationships/hyperlink" Target="https://www.mcmaster.com/91290A117" TargetMode="External"/><Relationship Id="rId47" Type="http://schemas.openxmlformats.org/officeDocument/2006/relationships/hyperlink" Target="https://www.aliexpress.com/item/50PCS-20-series-Roll-in-T-Spring-Nuts-M3-M4-M5-M6-For-2020-Aluminum-Profiles/32805163712.html" TargetMode="External"/><Relationship Id="rId68" Type="http://schemas.openxmlformats.org/officeDocument/2006/relationships/hyperlink" Target="https://www.aliexpress.com/item/32991204773.html" TargetMode="External"/><Relationship Id="rId89" Type="http://schemas.openxmlformats.org/officeDocument/2006/relationships/hyperlink" Target="https://www.zyltech.com/zyltech-mgn12-h-type-linear-rail-with-single-or-double-carriage-block/" TargetMode="External"/><Relationship Id="rId112" Type="http://schemas.openxmlformats.org/officeDocument/2006/relationships/hyperlink" Target="https://www.digikey.com/products/en?keywords=3-1609115-3" TargetMode="External"/><Relationship Id="rId133" Type="http://schemas.openxmlformats.org/officeDocument/2006/relationships/hyperlink" Target="https://openbuildspartstore.com/black-angle-corner-connector/" TargetMode="External"/><Relationship Id="rId154" Type="http://schemas.openxmlformats.org/officeDocument/2006/relationships/hyperlink" Target="https://www.digikey.com/products/en?keywords=43640-0301" TargetMode="External"/><Relationship Id="rId175" Type="http://schemas.openxmlformats.org/officeDocument/2006/relationships/hyperlink" Target="https://keenovo.store/collections/standard-keenovo-silicone-heaters/products/keenovo-square-silicone-heater-3d-printer-build-plate-heatbed-heating-pad?variant=8324020961335" TargetMode="External"/><Relationship Id="rId16" Type="http://schemas.openxmlformats.org/officeDocument/2006/relationships/hyperlink" Target="https://www.mcmaster.com/91239a138" TargetMode="External"/><Relationship Id="rId37" Type="http://schemas.openxmlformats.org/officeDocument/2006/relationships/hyperlink" Target="https://www.aliexpress.com/item/32917948919.html" TargetMode="External"/><Relationship Id="rId58" Type="http://schemas.openxmlformats.org/officeDocument/2006/relationships/hyperlink" Target="https://www.aliexpress.com/store/product/1pcs-20-Teeth-GT2-Timing-Pulley-Bore-5mm-for-wide-9mm-2GT-open-Timing-Belt-Small/702327_32650675929.html" TargetMode="External"/><Relationship Id="rId79" Type="http://schemas.openxmlformats.org/officeDocument/2006/relationships/hyperlink" Target="https://www.aliexpress.com/item/32773296501.html?spm=2114.12010612.8148356.4.46a27cbep2UDWu" TargetMode="External"/><Relationship Id="rId102" Type="http://schemas.openxmlformats.org/officeDocument/2006/relationships/hyperlink" Target="https://www.omc-stepperonline.com/nema-17-bipolar-59ncm-84oz-in-2a-42x48mm-4-wires-w-1m-cable-and-connector.html" TargetMode="External"/><Relationship Id="rId123" Type="http://schemas.openxmlformats.org/officeDocument/2006/relationships/hyperlink" Target="https://www.amazon.com/dp/B08577444D" TargetMode="External"/><Relationship Id="rId144" Type="http://schemas.openxmlformats.org/officeDocument/2006/relationships/hyperlink" Target="https://www.digikey.com/products/en?keywords=2-520184-2" TargetMode="External"/><Relationship Id="rId90" Type="http://schemas.openxmlformats.org/officeDocument/2006/relationships/hyperlink" Target="https://www.amazon.com/uxcell-47mmx18mm-Compressor-Replacement-Black/dp/B0711Y6T56/ref=sr_1_4?ie=UTF8&amp;qid=1550343762&amp;sr=8-4&amp;keywords=compressor+foot" TargetMode="External"/><Relationship Id="rId165" Type="http://schemas.openxmlformats.org/officeDocument/2006/relationships/hyperlink" Target="https://www.amazon.com/gp/product/B01LH1G2IE/" TargetMode="External"/><Relationship Id="rId27" Type="http://schemas.openxmlformats.org/officeDocument/2006/relationships/hyperlink" Target="https://www.boltdepot.com/Product-Details.aspx?product=13635" TargetMode="External"/><Relationship Id="rId48" Type="http://schemas.openxmlformats.org/officeDocument/2006/relationships/hyperlink" Target="https://www.aliexpress.com/item/33023248880.html" TargetMode="External"/><Relationship Id="rId69" Type="http://schemas.openxmlformats.org/officeDocument/2006/relationships/hyperlink" Target="https://www.aliexpress.com/item/625RS-Bearing-ABEC-5-10PCS-5-16-5-mm-Miniature-Sealed-625-2RS-Ball-Bearings-625/32802288535.html" TargetMode="External"/><Relationship Id="rId113" Type="http://schemas.openxmlformats.org/officeDocument/2006/relationships/hyperlink" Target="https://www.mouser.com/ProductDetail/TE-Connectivity-PB/10EGG1-2/?qs=vcjNRp8H9z2nhEkRL4AXYw%3D%3D" TargetMode="External"/><Relationship Id="rId134" Type="http://schemas.openxmlformats.org/officeDocument/2006/relationships/hyperlink" Target="https://us.misumi-ec.com/vona2/detail/110302683830/?Inch=0" TargetMode="External"/><Relationship Id="rId80" Type="http://schemas.openxmlformats.org/officeDocument/2006/relationships/hyperlink" Target="http://www.zyltech.com/zyltech-mgn9-linear-rail-with-single-or-double-carriage-block/" TargetMode="External"/><Relationship Id="rId155" Type="http://schemas.openxmlformats.org/officeDocument/2006/relationships/hyperlink" Target="https://www.digikey.com/products/en?keywords=43640-0201" TargetMode="External"/><Relationship Id="rId176" Type="http://schemas.openxmlformats.org/officeDocument/2006/relationships/hyperlink" Target="https://keenovo.store/collections/standard-keenovo-silicone-heaters/products/keenovo-square-silicone-heater-3d-printer-build-plate-heatbed-heating-pad?variant=8324021092407" TargetMode="External"/><Relationship Id="rId17" Type="http://schemas.openxmlformats.org/officeDocument/2006/relationships/hyperlink" Target="https://www.boltdepot.com/Product-Details.aspx?product=6387" TargetMode="External"/><Relationship Id="rId38" Type="http://schemas.openxmlformats.org/officeDocument/2006/relationships/hyperlink" Target="http://s.click.aliexpress.com/e/41Vkdm7q" TargetMode="External"/><Relationship Id="rId59" Type="http://schemas.openxmlformats.org/officeDocument/2006/relationships/hyperlink" Target="https://www.aliexpress.com/item/32726309946.html" TargetMode="External"/><Relationship Id="rId103" Type="http://schemas.openxmlformats.org/officeDocument/2006/relationships/hyperlink" Target="https://www.aliexpress.com/store/product/5PCS-59Ncm-84oz-in-Nema-17-Stepper-Motor-2A-4-wire-1m-Cable-for-DIY-3D/1984315_32589488227.html" TargetMode="External"/><Relationship Id="rId124" Type="http://schemas.openxmlformats.org/officeDocument/2006/relationships/hyperlink" Target="https://www.aliexpress.com/item/32885492280.html" TargetMode="External"/><Relationship Id="rId70" Type="http://schemas.openxmlformats.org/officeDocument/2006/relationships/hyperlink" Target="https://www.aliexpress.com/item/1pcs-SFC5-WCS5mm-L500mm-chrome-plated-linear-rod-round-Linear-Motion-Shaft-for-CNC-XYZ-can/1739093502.html" TargetMode="External"/><Relationship Id="rId91" Type="http://schemas.openxmlformats.org/officeDocument/2006/relationships/hyperlink" Target="https://www.aliexpress.com/item/High-quality-4pcs-48mmx18mm-Black-Rubber-Pad-Replacement-Foot-Pads-Vibration-Isolator-for-Air-Compressors/32990144547.html" TargetMode="External"/><Relationship Id="rId145" Type="http://schemas.openxmlformats.org/officeDocument/2006/relationships/hyperlink" Target="https://www.amazon.com/gp/product/B01M06HTVH/" TargetMode="External"/><Relationship Id="rId166" Type="http://schemas.openxmlformats.org/officeDocument/2006/relationships/hyperlink" Target="https://www.amazon.com/gp/product/B01LH1G2IE/" TargetMode="External"/><Relationship Id="rId1" Type="http://schemas.openxmlformats.org/officeDocument/2006/relationships/hyperlink" Target="https://www.paramount-3d.com/product-page/absblack" TargetMode="External"/><Relationship Id="rId28" Type="http://schemas.openxmlformats.org/officeDocument/2006/relationships/hyperlink" Target="https://www.mcmaster.com/91290a113" TargetMode="External"/><Relationship Id="rId49" Type="http://schemas.openxmlformats.org/officeDocument/2006/relationships/hyperlink" Target="https://s.click.aliexpress.com/e/_dSjU9WW" TargetMode="External"/><Relationship Id="rId114" Type="http://schemas.openxmlformats.org/officeDocument/2006/relationships/hyperlink" Target="https://www.digikey.com/en/products/detail/te-connectivity-corcom-filters/3-1609115-4/20322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2"/>
  <sheetViews>
    <sheetView tabSelected="1" workbookViewId="0">
      <pane xSplit="4" ySplit="3" topLeftCell="E4" activePane="bottomRight" state="frozen"/>
      <selection pane="topRight" activeCell="E1" sqref="E1"/>
      <selection pane="bottomLeft" activeCell="A4" sqref="A4"/>
      <selection pane="bottomRight" activeCell="A5" sqref="A5"/>
    </sheetView>
  </sheetViews>
  <sheetFormatPr baseColWidth="10" defaultColWidth="8.83203125" defaultRowHeight="15" x14ac:dyDescent="0.2"/>
  <cols>
    <col min="1" max="1" width="14" customWidth="1"/>
    <col min="2" max="2" width="44" customWidth="1"/>
    <col min="3" max="4" width="7" customWidth="1"/>
    <col min="5" max="5" width="32" customWidth="1"/>
    <col min="6" max="6" width="22" customWidth="1"/>
    <col min="7" max="7" width="42" customWidth="1"/>
    <col min="8" max="8" width="22" customWidth="1"/>
    <col min="9" max="9" width="42" customWidth="1"/>
    <col min="10" max="10" width="18" customWidth="1"/>
    <col min="11" max="11" width="38" customWidth="1"/>
    <col min="12" max="13" width="11" customWidth="1"/>
    <col min="14" max="14" width="14" customWidth="1"/>
    <col min="15" max="15" width="20" customWidth="1"/>
    <col min="16" max="16" width="13" customWidth="1"/>
    <col min="17" max="18" width="11" customWidth="1"/>
    <col min="19" max="19" width="5" customWidth="1"/>
  </cols>
  <sheetData>
    <row r="1" spans="1:19" ht="34" customHeight="1" x14ac:dyDescent="0.2">
      <c r="A1" s="21" t="s">
        <v>0</v>
      </c>
      <c r="B1" s="19"/>
      <c r="C1" s="19"/>
      <c r="D1" s="19"/>
      <c r="E1" s="19"/>
      <c r="F1" s="19"/>
      <c r="G1" s="19"/>
      <c r="H1" s="19"/>
      <c r="I1" s="19"/>
      <c r="J1" s="19"/>
      <c r="K1" s="19"/>
      <c r="L1" s="19"/>
      <c r="M1" s="19"/>
      <c r="N1" s="19"/>
      <c r="O1" s="19"/>
      <c r="P1" s="19"/>
      <c r="Q1" s="19"/>
      <c r="R1" s="19"/>
      <c r="S1" s="19"/>
    </row>
    <row r="2" spans="1:19" ht="16" customHeight="1" x14ac:dyDescent="0.2">
      <c r="A2" s="22" t="s">
        <v>1</v>
      </c>
      <c r="B2" s="19"/>
      <c r="C2" s="19"/>
      <c r="D2" s="19"/>
      <c r="E2" s="19"/>
      <c r="F2" s="19"/>
      <c r="G2" s="19"/>
      <c r="H2" s="19"/>
      <c r="I2" s="19"/>
      <c r="J2" s="19"/>
      <c r="K2" s="19"/>
      <c r="L2" s="19"/>
      <c r="M2" s="19"/>
      <c r="N2" s="19"/>
      <c r="O2" s="19"/>
      <c r="P2" s="19"/>
      <c r="Q2" s="19"/>
      <c r="R2" s="19"/>
      <c r="S2" s="19"/>
    </row>
    <row r="3" spans="1:19" ht="34" customHeight="1" x14ac:dyDescent="0.2">
      <c r="A3" s="1" t="s">
        <v>2</v>
      </c>
      <c r="B3" s="1" t="s">
        <v>3</v>
      </c>
      <c r="C3" s="1" t="s">
        <v>4</v>
      </c>
      <c r="D3" s="1" t="s">
        <v>5</v>
      </c>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row>
    <row r="4" spans="1:19" ht="20" customHeight="1" x14ac:dyDescent="0.2">
      <c r="A4" s="18" t="s">
        <v>21</v>
      </c>
      <c r="B4" s="19"/>
      <c r="C4" s="19"/>
      <c r="D4" s="19"/>
      <c r="E4" s="19"/>
      <c r="F4" s="19"/>
      <c r="G4" s="19"/>
      <c r="H4" s="19"/>
      <c r="I4" s="19"/>
      <c r="J4" s="19"/>
      <c r="K4" s="19"/>
      <c r="L4" s="19"/>
      <c r="M4" s="19"/>
      <c r="N4" s="19"/>
      <c r="O4" s="19"/>
      <c r="P4" s="19"/>
      <c r="Q4" s="19"/>
      <c r="R4" s="19"/>
      <c r="S4" s="19"/>
    </row>
    <row r="5" spans="1:19" ht="18" customHeight="1" x14ac:dyDescent="0.2">
      <c r="A5" s="2" t="s">
        <v>22</v>
      </c>
      <c r="B5" s="3" t="s">
        <v>23</v>
      </c>
      <c r="C5" s="4">
        <v>2</v>
      </c>
      <c r="D5" s="2" t="s">
        <v>24</v>
      </c>
      <c r="E5" s="3"/>
      <c r="F5" s="5" t="s">
        <v>25</v>
      </c>
      <c r="G5" s="6" t="s">
        <v>26</v>
      </c>
      <c r="H5" s="5" t="s">
        <v>27</v>
      </c>
      <c r="I5" s="6" t="s">
        <v>28</v>
      </c>
      <c r="J5" s="2"/>
      <c r="K5" s="6"/>
      <c r="L5" s="4"/>
      <c r="M5" s="4">
        <f>IF(C5&lt;&gt;"",IF(ISNUMBER(C5),C5*L5,L5),0)</f>
        <v>0</v>
      </c>
      <c r="N5" s="7" t="s">
        <v>29</v>
      </c>
      <c r="O5" s="3"/>
      <c r="P5" s="2"/>
      <c r="Q5" s="2"/>
      <c r="R5" s="2"/>
      <c r="S5" s="4" t="s">
        <v>30</v>
      </c>
    </row>
    <row r="6" spans="1:19" ht="18" customHeight="1" x14ac:dyDescent="0.2">
      <c r="A6" s="8" t="s">
        <v>22</v>
      </c>
      <c r="B6" s="9" t="s">
        <v>31</v>
      </c>
      <c r="C6" s="10">
        <v>1</v>
      </c>
      <c r="D6" s="8" t="s">
        <v>24</v>
      </c>
      <c r="E6" s="9"/>
      <c r="F6" s="11" t="s">
        <v>25</v>
      </c>
      <c r="G6" s="12" t="s">
        <v>32</v>
      </c>
      <c r="H6" s="11" t="s">
        <v>33</v>
      </c>
      <c r="I6" s="12" t="s">
        <v>34</v>
      </c>
      <c r="J6" s="11" t="s">
        <v>27</v>
      </c>
      <c r="K6" s="12" t="s">
        <v>35</v>
      </c>
      <c r="L6" s="10"/>
      <c r="M6" s="10">
        <f>IF(C6&lt;&gt;"",IF(ISNUMBER(C6),C6*L6,L6),0)</f>
        <v>0</v>
      </c>
      <c r="N6" s="7" t="s">
        <v>29</v>
      </c>
      <c r="O6" s="9"/>
      <c r="P6" s="8"/>
      <c r="Q6" s="8"/>
      <c r="R6" s="8"/>
      <c r="S6" s="10" t="s">
        <v>30</v>
      </c>
    </row>
    <row r="7" spans="1:19" ht="18" customHeight="1" x14ac:dyDescent="0.2">
      <c r="A7" s="2" t="s">
        <v>22</v>
      </c>
      <c r="B7" s="3" t="s">
        <v>22</v>
      </c>
      <c r="C7" s="4">
        <v>1</v>
      </c>
      <c r="D7" s="2" t="s">
        <v>24</v>
      </c>
      <c r="E7" s="3"/>
      <c r="F7" s="2" t="s">
        <v>36</v>
      </c>
      <c r="G7" s="6"/>
      <c r="H7" s="5" t="s">
        <v>37</v>
      </c>
      <c r="I7" s="6" t="s">
        <v>38</v>
      </c>
      <c r="J7" s="2"/>
      <c r="K7" s="6"/>
      <c r="L7" s="4"/>
      <c r="M7" s="4">
        <f>IF(C7&lt;&gt;"",IF(ISNUMBER(C7),C7*L7,L7),0)</f>
        <v>0</v>
      </c>
      <c r="N7" s="7" t="s">
        <v>29</v>
      </c>
      <c r="O7" s="3"/>
      <c r="P7" s="2"/>
      <c r="Q7" s="2"/>
      <c r="R7" s="2"/>
      <c r="S7" s="4" t="s">
        <v>30</v>
      </c>
    </row>
    <row r="8" spans="1:19" ht="20" customHeight="1" x14ac:dyDescent="0.2">
      <c r="A8" s="18" t="s">
        <v>39</v>
      </c>
      <c r="B8" s="19"/>
      <c r="C8" s="19"/>
      <c r="D8" s="19"/>
      <c r="E8" s="19"/>
      <c r="F8" s="19"/>
      <c r="G8" s="19"/>
      <c r="H8" s="19"/>
      <c r="I8" s="19"/>
      <c r="J8" s="19"/>
      <c r="K8" s="19"/>
      <c r="L8" s="19"/>
      <c r="M8" s="19"/>
      <c r="N8" s="19"/>
      <c r="O8" s="19"/>
      <c r="P8" s="19"/>
      <c r="Q8" s="19"/>
      <c r="R8" s="19"/>
      <c r="S8" s="19"/>
    </row>
    <row r="9" spans="1:19" ht="18" customHeight="1" x14ac:dyDescent="0.2">
      <c r="A9" s="2" t="s">
        <v>40</v>
      </c>
      <c r="B9" s="3" t="s">
        <v>41</v>
      </c>
      <c r="C9" s="4">
        <v>25</v>
      </c>
      <c r="D9" s="2" t="s">
        <v>24</v>
      </c>
      <c r="E9" s="3"/>
      <c r="F9" s="2" t="s">
        <v>24</v>
      </c>
      <c r="G9" s="6"/>
      <c r="H9" s="5" t="s">
        <v>42</v>
      </c>
      <c r="I9" s="6" t="s">
        <v>43</v>
      </c>
      <c r="J9" s="5" t="s">
        <v>44</v>
      </c>
      <c r="K9" s="6" t="s">
        <v>45</v>
      </c>
      <c r="L9" s="4"/>
      <c r="M9" s="4">
        <f t="shared" ref="M9:M31" si="0">IF(C9&lt;&gt;"",IF(ISNUMBER(C9),C9*L9,L9),0)</f>
        <v>0</v>
      </c>
      <c r="N9" s="7" t="s">
        <v>29</v>
      </c>
      <c r="O9" s="3"/>
      <c r="P9" s="2"/>
      <c r="Q9" s="2"/>
      <c r="R9" s="2"/>
      <c r="S9" s="4" t="s">
        <v>30</v>
      </c>
    </row>
    <row r="10" spans="1:19" ht="18" customHeight="1" x14ac:dyDescent="0.2">
      <c r="A10" s="8" t="s">
        <v>40</v>
      </c>
      <c r="B10" s="9" t="s">
        <v>46</v>
      </c>
      <c r="C10" s="10">
        <v>22</v>
      </c>
      <c r="D10" s="8" t="s">
        <v>24</v>
      </c>
      <c r="E10" s="9"/>
      <c r="F10" s="8" t="s">
        <v>24</v>
      </c>
      <c r="G10" s="12"/>
      <c r="H10" s="11" t="s">
        <v>42</v>
      </c>
      <c r="I10" s="12" t="s">
        <v>47</v>
      </c>
      <c r="J10" s="11" t="s">
        <v>48</v>
      </c>
      <c r="K10" s="12" t="s">
        <v>49</v>
      </c>
      <c r="L10" s="10"/>
      <c r="M10" s="10">
        <f t="shared" si="0"/>
        <v>0</v>
      </c>
      <c r="N10" s="7" t="s">
        <v>29</v>
      </c>
      <c r="O10" s="9"/>
      <c r="P10" s="8"/>
      <c r="Q10" s="8"/>
      <c r="R10" s="8"/>
      <c r="S10" s="10" t="s">
        <v>30</v>
      </c>
    </row>
    <row r="11" spans="1:19" ht="18" customHeight="1" x14ac:dyDescent="0.2">
      <c r="A11" s="2" t="s">
        <v>40</v>
      </c>
      <c r="B11" s="3" t="s">
        <v>50</v>
      </c>
      <c r="C11" s="4">
        <v>31</v>
      </c>
      <c r="D11" s="2" t="s">
        <v>24</v>
      </c>
      <c r="E11" s="3"/>
      <c r="F11" s="2" t="s">
        <v>24</v>
      </c>
      <c r="G11" s="6"/>
      <c r="H11" s="5" t="s">
        <v>42</v>
      </c>
      <c r="I11" s="6" t="s">
        <v>51</v>
      </c>
      <c r="J11" s="5" t="s">
        <v>48</v>
      </c>
      <c r="K11" s="6" t="s">
        <v>52</v>
      </c>
      <c r="L11" s="4"/>
      <c r="M11" s="4">
        <f t="shared" si="0"/>
        <v>0</v>
      </c>
      <c r="N11" s="7" t="s">
        <v>29</v>
      </c>
      <c r="O11" s="3"/>
      <c r="P11" s="2"/>
      <c r="Q11" s="2"/>
      <c r="R11" s="2"/>
      <c r="S11" s="4" t="s">
        <v>30</v>
      </c>
    </row>
    <row r="12" spans="1:19" ht="18" customHeight="1" x14ac:dyDescent="0.2">
      <c r="A12" s="8" t="s">
        <v>40</v>
      </c>
      <c r="B12" s="9" t="s">
        <v>53</v>
      </c>
      <c r="C12" s="10">
        <v>40</v>
      </c>
      <c r="D12" s="8" t="s">
        <v>24</v>
      </c>
      <c r="E12" s="9"/>
      <c r="F12" s="8" t="s">
        <v>24</v>
      </c>
      <c r="G12" s="12"/>
      <c r="H12" s="11" t="s">
        <v>42</v>
      </c>
      <c r="I12" s="12" t="s">
        <v>54</v>
      </c>
      <c r="J12" s="11" t="s">
        <v>48</v>
      </c>
      <c r="K12" s="12" t="s">
        <v>55</v>
      </c>
      <c r="L12" s="10"/>
      <c r="M12" s="10">
        <f t="shared" si="0"/>
        <v>0</v>
      </c>
      <c r="N12" s="7" t="s">
        <v>29</v>
      </c>
      <c r="O12" s="9"/>
      <c r="P12" s="8"/>
      <c r="Q12" s="8"/>
      <c r="R12" s="8"/>
      <c r="S12" s="10" t="s">
        <v>30</v>
      </c>
    </row>
    <row r="13" spans="1:19" ht="18" customHeight="1" x14ac:dyDescent="0.2">
      <c r="A13" s="2" t="s">
        <v>40</v>
      </c>
      <c r="B13" s="3" t="s">
        <v>56</v>
      </c>
      <c r="C13" s="4">
        <v>7</v>
      </c>
      <c r="D13" s="2" t="s">
        <v>24</v>
      </c>
      <c r="E13" s="3"/>
      <c r="F13" s="2" t="s">
        <v>24</v>
      </c>
      <c r="G13" s="6"/>
      <c r="H13" s="5" t="s">
        <v>42</v>
      </c>
      <c r="I13" s="6" t="s">
        <v>57</v>
      </c>
      <c r="J13" s="5" t="s">
        <v>48</v>
      </c>
      <c r="K13" s="6" t="s">
        <v>58</v>
      </c>
      <c r="L13" s="4"/>
      <c r="M13" s="4">
        <f t="shared" si="0"/>
        <v>0</v>
      </c>
      <c r="N13" s="7" t="s">
        <v>29</v>
      </c>
      <c r="O13" s="3"/>
      <c r="P13" s="2"/>
      <c r="Q13" s="2"/>
      <c r="R13" s="2"/>
      <c r="S13" s="4" t="s">
        <v>30</v>
      </c>
    </row>
    <row r="14" spans="1:19" ht="18" customHeight="1" x14ac:dyDescent="0.2">
      <c r="A14" s="8" t="s">
        <v>40</v>
      </c>
      <c r="B14" s="9" t="s">
        <v>59</v>
      </c>
      <c r="C14" s="10">
        <v>28</v>
      </c>
      <c r="D14" s="8" t="s">
        <v>24</v>
      </c>
      <c r="E14" s="9"/>
      <c r="F14" s="8" t="s">
        <v>24</v>
      </c>
      <c r="G14" s="12"/>
      <c r="H14" s="11" t="s">
        <v>42</v>
      </c>
      <c r="I14" s="12" t="s">
        <v>60</v>
      </c>
      <c r="J14" s="11" t="s">
        <v>61</v>
      </c>
      <c r="K14" s="12" t="s">
        <v>62</v>
      </c>
      <c r="L14" s="10"/>
      <c r="M14" s="10">
        <f t="shared" si="0"/>
        <v>0</v>
      </c>
      <c r="N14" s="7" t="s">
        <v>29</v>
      </c>
      <c r="O14" s="9"/>
      <c r="P14" s="8"/>
      <c r="Q14" s="8"/>
      <c r="R14" s="8"/>
      <c r="S14" s="10" t="s">
        <v>30</v>
      </c>
    </row>
    <row r="15" spans="1:19" ht="18" customHeight="1" x14ac:dyDescent="0.2">
      <c r="A15" s="2" t="s">
        <v>40</v>
      </c>
      <c r="B15" s="3" t="s">
        <v>63</v>
      </c>
      <c r="C15" s="4">
        <v>32</v>
      </c>
      <c r="D15" s="2" t="s">
        <v>24</v>
      </c>
      <c r="E15" s="3"/>
      <c r="F15" s="2" t="s">
        <v>24</v>
      </c>
      <c r="G15" s="6"/>
      <c r="H15" s="5" t="s">
        <v>42</v>
      </c>
      <c r="I15" s="6" t="s">
        <v>64</v>
      </c>
      <c r="J15" s="5" t="s">
        <v>44</v>
      </c>
      <c r="K15" s="6" t="s">
        <v>65</v>
      </c>
      <c r="L15" s="4"/>
      <c r="M15" s="4">
        <f t="shared" si="0"/>
        <v>0</v>
      </c>
      <c r="N15" s="7" t="s">
        <v>29</v>
      </c>
      <c r="O15" s="3"/>
      <c r="P15" s="2"/>
      <c r="Q15" s="2"/>
      <c r="R15" s="2"/>
      <c r="S15" s="4" t="s">
        <v>30</v>
      </c>
    </row>
    <row r="16" spans="1:19" ht="18" customHeight="1" x14ac:dyDescent="0.2">
      <c r="A16" s="8" t="s">
        <v>40</v>
      </c>
      <c r="B16" s="9" t="s">
        <v>66</v>
      </c>
      <c r="C16" s="10">
        <v>29</v>
      </c>
      <c r="D16" s="8" t="s">
        <v>24</v>
      </c>
      <c r="E16" s="9"/>
      <c r="F16" s="8" t="s">
        <v>24</v>
      </c>
      <c r="G16" s="12"/>
      <c r="H16" s="11" t="s">
        <v>42</v>
      </c>
      <c r="I16" s="12" t="s">
        <v>67</v>
      </c>
      <c r="J16" s="11" t="s">
        <v>48</v>
      </c>
      <c r="K16" s="12" t="s">
        <v>68</v>
      </c>
      <c r="L16" s="10"/>
      <c r="M16" s="10">
        <f t="shared" si="0"/>
        <v>0</v>
      </c>
      <c r="N16" s="7" t="s">
        <v>29</v>
      </c>
      <c r="O16" s="9"/>
      <c r="P16" s="8"/>
      <c r="Q16" s="8"/>
      <c r="R16" s="8"/>
      <c r="S16" s="10" t="s">
        <v>30</v>
      </c>
    </row>
    <row r="17" spans="1:19" ht="18" customHeight="1" x14ac:dyDescent="0.2">
      <c r="A17" s="2" t="s">
        <v>40</v>
      </c>
      <c r="B17" s="3" t="s">
        <v>69</v>
      </c>
      <c r="C17" s="4">
        <v>20</v>
      </c>
      <c r="D17" s="2" t="s">
        <v>24</v>
      </c>
      <c r="E17" s="3"/>
      <c r="F17" s="2" t="s">
        <v>24</v>
      </c>
      <c r="G17" s="6"/>
      <c r="H17" s="5" t="s">
        <v>42</v>
      </c>
      <c r="I17" s="6" t="s">
        <v>70</v>
      </c>
      <c r="J17" s="5" t="s">
        <v>48</v>
      </c>
      <c r="K17" s="6" t="s">
        <v>71</v>
      </c>
      <c r="L17" s="4"/>
      <c r="M17" s="4">
        <f t="shared" si="0"/>
        <v>0</v>
      </c>
      <c r="N17" s="7" t="s">
        <v>29</v>
      </c>
      <c r="O17" s="3"/>
      <c r="P17" s="2"/>
      <c r="Q17" s="2"/>
      <c r="R17" s="2"/>
      <c r="S17" s="4" t="s">
        <v>30</v>
      </c>
    </row>
    <row r="18" spans="1:19" ht="18" customHeight="1" x14ac:dyDescent="0.2">
      <c r="A18" s="8" t="s">
        <v>40</v>
      </c>
      <c r="B18" s="9" t="s">
        <v>72</v>
      </c>
      <c r="C18" s="10">
        <v>23</v>
      </c>
      <c r="D18" s="8" t="s">
        <v>24</v>
      </c>
      <c r="E18" s="9"/>
      <c r="F18" s="8" t="s">
        <v>24</v>
      </c>
      <c r="G18" s="12"/>
      <c r="H18" s="11" t="s">
        <v>42</v>
      </c>
      <c r="I18" s="12" t="s">
        <v>73</v>
      </c>
      <c r="J18" s="11" t="s">
        <v>48</v>
      </c>
      <c r="K18" s="12" t="s">
        <v>74</v>
      </c>
      <c r="L18" s="10"/>
      <c r="M18" s="10">
        <f t="shared" si="0"/>
        <v>0</v>
      </c>
      <c r="N18" s="7" t="s">
        <v>29</v>
      </c>
      <c r="O18" s="9"/>
      <c r="P18" s="8"/>
      <c r="Q18" s="8"/>
      <c r="R18" s="8"/>
      <c r="S18" s="10" t="s">
        <v>30</v>
      </c>
    </row>
    <row r="19" spans="1:19" ht="18" customHeight="1" x14ac:dyDescent="0.2">
      <c r="A19" s="2" t="s">
        <v>40</v>
      </c>
      <c r="B19" s="3" t="s">
        <v>75</v>
      </c>
      <c r="C19" s="4" t="s">
        <v>76</v>
      </c>
      <c r="D19" s="2" t="s">
        <v>24</v>
      </c>
      <c r="E19" s="3"/>
      <c r="F19" s="2" t="s">
        <v>24</v>
      </c>
      <c r="G19" s="6"/>
      <c r="H19" s="5" t="s">
        <v>42</v>
      </c>
      <c r="I19" s="6" t="s">
        <v>77</v>
      </c>
      <c r="J19" s="5" t="s">
        <v>48</v>
      </c>
      <c r="K19" s="6" t="s">
        <v>78</v>
      </c>
      <c r="L19" s="4"/>
      <c r="M19" s="4">
        <f t="shared" si="0"/>
        <v>0</v>
      </c>
      <c r="N19" s="7" t="s">
        <v>29</v>
      </c>
      <c r="O19" s="3"/>
      <c r="P19" s="2"/>
      <c r="Q19" s="2"/>
      <c r="R19" s="2"/>
      <c r="S19" s="4" t="s">
        <v>30</v>
      </c>
    </row>
    <row r="20" spans="1:19" ht="18" customHeight="1" x14ac:dyDescent="0.2">
      <c r="A20" s="8" t="s">
        <v>40</v>
      </c>
      <c r="B20" s="9" t="s">
        <v>79</v>
      </c>
      <c r="C20" s="10">
        <v>10</v>
      </c>
      <c r="D20" s="8" t="s">
        <v>24</v>
      </c>
      <c r="E20" s="9"/>
      <c r="F20" s="8" t="s">
        <v>24</v>
      </c>
      <c r="G20" s="12"/>
      <c r="H20" s="11" t="s">
        <v>42</v>
      </c>
      <c r="I20" s="12" t="s">
        <v>80</v>
      </c>
      <c r="J20" s="8"/>
      <c r="K20" s="12"/>
      <c r="L20" s="10"/>
      <c r="M20" s="10">
        <f t="shared" si="0"/>
        <v>0</v>
      </c>
      <c r="N20" s="7" t="s">
        <v>29</v>
      </c>
      <c r="O20" s="9"/>
      <c r="P20" s="8"/>
      <c r="Q20" s="8"/>
      <c r="R20" s="8"/>
      <c r="S20" s="10" t="s">
        <v>30</v>
      </c>
    </row>
    <row r="21" spans="1:19" ht="18" customHeight="1" x14ac:dyDescent="0.2">
      <c r="A21" s="2" t="s">
        <v>40</v>
      </c>
      <c r="B21" s="3" t="s">
        <v>81</v>
      </c>
      <c r="C21" s="4">
        <v>12</v>
      </c>
      <c r="D21" s="2" t="s">
        <v>24</v>
      </c>
      <c r="E21" s="3"/>
      <c r="F21" s="2" t="s">
        <v>24</v>
      </c>
      <c r="G21" s="6"/>
      <c r="H21" s="5" t="s">
        <v>42</v>
      </c>
      <c r="I21" s="6" t="s">
        <v>82</v>
      </c>
      <c r="J21" s="5" t="s">
        <v>48</v>
      </c>
      <c r="K21" s="6" t="s">
        <v>83</v>
      </c>
      <c r="L21" s="4"/>
      <c r="M21" s="4">
        <f t="shared" si="0"/>
        <v>0</v>
      </c>
      <c r="N21" s="7" t="s">
        <v>29</v>
      </c>
      <c r="O21" s="3"/>
      <c r="P21" s="2"/>
      <c r="Q21" s="2"/>
      <c r="R21" s="2"/>
      <c r="S21" s="4" t="s">
        <v>30</v>
      </c>
    </row>
    <row r="22" spans="1:19" ht="18" customHeight="1" x14ac:dyDescent="0.2">
      <c r="A22" s="8" t="s">
        <v>40</v>
      </c>
      <c r="B22" s="9" t="s">
        <v>84</v>
      </c>
      <c r="C22" s="10" t="s">
        <v>24</v>
      </c>
      <c r="D22" s="8" t="s">
        <v>85</v>
      </c>
      <c r="E22" s="9"/>
      <c r="F22" s="11" t="s">
        <v>85</v>
      </c>
      <c r="G22" s="12" t="s">
        <v>86</v>
      </c>
      <c r="H22" s="11" t="s">
        <v>87</v>
      </c>
      <c r="I22" s="12" t="s">
        <v>88</v>
      </c>
      <c r="J22" s="11" t="s">
        <v>89</v>
      </c>
      <c r="K22" s="12" t="s">
        <v>90</v>
      </c>
      <c r="L22" s="10"/>
      <c r="M22" s="10">
        <f t="shared" si="0"/>
        <v>0</v>
      </c>
      <c r="N22" s="7" t="s">
        <v>29</v>
      </c>
      <c r="O22" s="9"/>
      <c r="P22" s="8"/>
      <c r="Q22" s="8"/>
      <c r="R22" s="8"/>
      <c r="S22" s="10" t="s">
        <v>30</v>
      </c>
    </row>
    <row r="23" spans="1:19" ht="18" customHeight="1" x14ac:dyDescent="0.2">
      <c r="A23" s="2" t="s">
        <v>40</v>
      </c>
      <c r="B23" s="3" t="s">
        <v>91</v>
      </c>
      <c r="C23" s="4">
        <v>90</v>
      </c>
      <c r="D23" s="2" t="s">
        <v>24</v>
      </c>
      <c r="E23" s="3"/>
      <c r="F23" s="2" t="s">
        <v>24</v>
      </c>
      <c r="G23" s="6"/>
      <c r="H23" s="5" t="s">
        <v>92</v>
      </c>
      <c r="I23" s="6" t="s">
        <v>93</v>
      </c>
      <c r="J23" s="5" t="s">
        <v>89</v>
      </c>
      <c r="K23" s="6" t="s">
        <v>94</v>
      </c>
      <c r="L23" s="4"/>
      <c r="M23" s="4">
        <f t="shared" si="0"/>
        <v>0</v>
      </c>
      <c r="N23" s="7" t="s">
        <v>29</v>
      </c>
      <c r="O23" s="3"/>
      <c r="P23" s="2"/>
      <c r="Q23" s="2"/>
      <c r="R23" s="2"/>
      <c r="S23" s="4" t="s">
        <v>30</v>
      </c>
    </row>
    <row r="24" spans="1:19" ht="18" customHeight="1" x14ac:dyDescent="0.2">
      <c r="A24" s="8" t="s">
        <v>40</v>
      </c>
      <c r="B24" s="9" t="s">
        <v>95</v>
      </c>
      <c r="C24" s="10">
        <v>4</v>
      </c>
      <c r="D24" s="8" t="s">
        <v>24</v>
      </c>
      <c r="E24" s="9"/>
      <c r="F24" s="8" t="s">
        <v>24</v>
      </c>
      <c r="G24" s="12"/>
      <c r="H24" s="8"/>
      <c r="I24" s="12"/>
      <c r="J24" s="8"/>
      <c r="K24" s="12"/>
      <c r="L24" s="10"/>
      <c r="M24" s="10">
        <f t="shared" si="0"/>
        <v>0</v>
      </c>
      <c r="N24" s="7" t="s">
        <v>29</v>
      </c>
      <c r="O24" s="9"/>
      <c r="P24" s="8"/>
      <c r="Q24" s="8"/>
      <c r="R24" s="8"/>
      <c r="S24" s="10" t="s">
        <v>30</v>
      </c>
    </row>
    <row r="25" spans="1:19" ht="18" customHeight="1" x14ac:dyDescent="0.2">
      <c r="A25" s="2" t="s">
        <v>40</v>
      </c>
      <c r="B25" s="3" t="s">
        <v>96</v>
      </c>
      <c r="C25" s="4">
        <v>42</v>
      </c>
      <c r="D25" s="2" t="s">
        <v>24</v>
      </c>
      <c r="E25" s="3"/>
      <c r="F25" s="2" t="s">
        <v>24</v>
      </c>
      <c r="G25" s="6"/>
      <c r="H25" s="5" t="s">
        <v>87</v>
      </c>
      <c r="I25" s="6" t="s">
        <v>97</v>
      </c>
      <c r="J25" s="5" t="s">
        <v>89</v>
      </c>
      <c r="K25" s="6" t="s">
        <v>98</v>
      </c>
      <c r="L25" s="4"/>
      <c r="M25" s="4">
        <f t="shared" si="0"/>
        <v>0</v>
      </c>
      <c r="N25" s="7" t="s">
        <v>29</v>
      </c>
      <c r="O25" s="3"/>
      <c r="P25" s="2"/>
      <c r="Q25" s="2"/>
      <c r="R25" s="2"/>
      <c r="S25" s="4" t="s">
        <v>30</v>
      </c>
    </row>
    <row r="26" spans="1:19" ht="18" customHeight="1" x14ac:dyDescent="0.2">
      <c r="A26" s="8" t="s">
        <v>40</v>
      </c>
      <c r="B26" s="9" t="s">
        <v>99</v>
      </c>
      <c r="C26" s="10">
        <v>2</v>
      </c>
      <c r="D26" s="8" t="s">
        <v>24</v>
      </c>
      <c r="E26" s="9"/>
      <c r="F26" s="8" t="s">
        <v>24</v>
      </c>
      <c r="G26" s="12"/>
      <c r="H26" s="11" t="s">
        <v>42</v>
      </c>
      <c r="I26" s="12" t="s">
        <v>100</v>
      </c>
      <c r="J26" s="11" t="s">
        <v>48</v>
      </c>
      <c r="K26" s="12" t="s">
        <v>101</v>
      </c>
      <c r="L26" s="10"/>
      <c r="M26" s="10">
        <f t="shared" si="0"/>
        <v>0</v>
      </c>
      <c r="N26" s="7" t="s">
        <v>29</v>
      </c>
      <c r="O26" s="9"/>
      <c r="P26" s="8"/>
      <c r="Q26" s="8"/>
      <c r="R26" s="8"/>
      <c r="S26" s="10" t="s">
        <v>30</v>
      </c>
    </row>
    <row r="27" spans="1:19" ht="18" customHeight="1" x14ac:dyDescent="0.2">
      <c r="A27" s="2" t="s">
        <v>40</v>
      </c>
      <c r="B27" s="3" t="s">
        <v>102</v>
      </c>
      <c r="C27" s="4">
        <v>26</v>
      </c>
      <c r="D27" s="2" t="s">
        <v>24</v>
      </c>
      <c r="E27" s="3"/>
      <c r="F27" s="2" t="s">
        <v>24</v>
      </c>
      <c r="G27" s="6"/>
      <c r="H27" s="5" t="s">
        <v>42</v>
      </c>
      <c r="I27" s="6" t="s">
        <v>103</v>
      </c>
      <c r="J27" s="2"/>
      <c r="K27" s="6"/>
      <c r="L27" s="4"/>
      <c r="M27" s="4">
        <f t="shared" si="0"/>
        <v>0</v>
      </c>
      <c r="N27" s="7" t="s">
        <v>29</v>
      </c>
      <c r="O27" s="3"/>
      <c r="P27" s="2"/>
      <c r="Q27" s="2"/>
      <c r="R27" s="2"/>
      <c r="S27" s="4" t="s">
        <v>30</v>
      </c>
    </row>
    <row r="28" spans="1:19" ht="18" customHeight="1" x14ac:dyDescent="0.2">
      <c r="A28" s="8" t="s">
        <v>40</v>
      </c>
      <c r="B28" s="9" t="s">
        <v>104</v>
      </c>
      <c r="C28" s="10">
        <v>7</v>
      </c>
      <c r="D28" s="8" t="s">
        <v>24</v>
      </c>
      <c r="E28" s="9"/>
      <c r="F28" s="8" t="s">
        <v>24</v>
      </c>
      <c r="G28" s="12"/>
      <c r="H28" s="11" t="s">
        <v>42</v>
      </c>
      <c r="I28" s="12" t="s">
        <v>105</v>
      </c>
      <c r="J28" s="11" t="s">
        <v>48</v>
      </c>
      <c r="K28" s="12" t="s">
        <v>106</v>
      </c>
      <c r="L28" s="10"/>
      <c r="M28" s="10">
        <f t="shared" si="0"/>
        <v>0</v>
      </c>
      <c r="N28" s="7" t="s">
        <v>29</v>
      </c>
      <c r="O28" s="9"/>
      <c r="P28" s="8"/>
      <c r="Q28" s="8"/>
      <c r="R28" s="8"/>
      <c r="S28" s="10" t="s">
        <v>30</v>
      </c>
    </row>
    <row r="29" spans="1:19" ht="18" customHeight="1" x14ac:dyDescent="0.2">
      <c r="A29" s="2" t="s">
        <v>40</v>
      </c>
      <c r="B29" s="3" t="s">
        <v>107</v>
      </c>
      <c r="C29" s="4" t="s">
        <v>108</v>
      </c>
      <c r="D29" s="2" t="s">
        <v>24</v>
      </c>
      <c r="E29" s="3" t="s">
        <v>109</v>
      </c>
      <c r="F29" s="2" t="s">
        <v>24</v>
      </c>
      <c r="G29" s="6"/>
      <c r="H29" s="5" t="s">
        <v>110</v>
      </c>
      <c r="I29" s="6" t="s">
        <v>111</v>
      </c>
      <c r="J29" s="5" t="s">
        <v>112</v>
      </c>
      <c r="K29" s="6" t="s">
        <v>113</v>
      </c>
      <c r="L29" s="4"/>
      <c r="M29" s="4">
        <f t="shared" si="0"/>
        <v>0</v>
      </c>
      <c r="N29" s="7" t="s">
        <v>29</v>
      </c>
      <c r="O29" s="3"/>
      <c r="P29" s="2"/>
      <c r="Q29" s="2"/>
      <c r="R29" s="2"/>
      <c r="S29" s="4" t="s">
        <v>30</v>
      </c>
    </row>
    <row r="30" spans="1:19" ht="18" customHeight="1" x14ac:dyDescent="0.2">
      <c r="A30" s="8" t="s">
        <v>40</v>
      </c>
      <c r="B30" s="9" t="s">
        <v>114</v>
      </c>
      <c r="C30" s="10">
        <v>61</v>
      </c>
      <c r="D30" s="8" t="s">
        <v>24</v>
      </c>
      <c r="E30" s="9" t="s">
        <v>109</v>
      </c>
      <c r="F30" s="8" t="s">
        <v>24</v>
      </c>
      <c r="G30" s="12"/>
      <c r="H30" s="11" t="s">
        <v>110</v>
      </c>
      <c r="I30" s="12" t="s">
        <v>111</v>
      </c>
      <c r="J30" s="11" t="s">
        <v>112</v>
      </c>
      <c r="K30" s="12" t="s">
        <v>113</v>
      </c>
      <c r="L30" s="10"/>
      <c r="M30" s="10">
        <f t="shared" si="0"/>
        <v>0</v>
      </c>
      <c r="N30" s="7" t="s">
        <v>29</v>
      </c>
      <c r="O30" s="9"/>
      <c r="P30" s="8"/>
      <c r="Q30" s="8"/>
      <c r="R30" s="8"/>
      <c r="S30" s="10" t="s">
        <v>30</v>
      </c>
    </row>
    <row r="31" spans="1:19" ht="18" customHeight="1" x14ac:dyDescent="0.2">
      <c r="A31" s="2" t="s">
        <v>40</v>
      </c>
      <c r="B31" s="3" t="s">
        <v>115</v>
      </c>
      <c r="C31" s="4">
        <v>47</v>
      </c>
      <c r="D31" s="2" t="s">
        <v>24</v>
      </c>
      <c r="E31" s="3"/>
      <c r="F31" s="2" t="s">
        <v>24</v>
      </c>
      <c r="G31" s="6"/>
      <c r="H31" s="5" t="s">
        <v>87</v>
      </c>
      <c r="I31" s="6" t="s">
        <v>116</v>
      </c>
      <c r="J31" s="5" t="s">
        <v>89</v>
      </c>
      <c r="K31" s="6" t="s">
        <v>117</v>
      </c>
      <c r="L31" s="4"/>
      <c r="M31" s="4">
        <f t="shared" si="0"/>
        <v>0</v>
      </c>
      <c r="N31" s="7" t="s">
        <v>29</v>
      </c>
      <c r="O31" s="3"/>
      <c r="P31" s="2"/>
      <c r="Q31" s="2"/>
      <c r="R31" s="2"/>
      <c r="S31" s="4" t="s">
        <v>30</v>
      </c>
    </row>
    <row r="32" spans="1:19" ht="20" customHeight="1" x14ac:dyDescent="0.2">
      <c r="A32" s="18" t="s">
        <v>118</v>
      </c>
      <c r="B32" s="19"/>
      <c r="C32" s="19"/>
      <c r="D32" s="19"/>
      <c r="E32" s="19"/>
      <c r="F32" s="19"/>
      <c r="G32" s="19"/>
      <c r="H32" s="19"/>
      <c r="I32" s="19"/>
      <c r="J32" s="19"/>
      <c r="K32" s="19"/>
      <c r="L32" s="19"/>
      <c r="M32" s="19"/>
      <c r="N32" s="19"/>
      <c r="O32" s="19"/>
      <c r="P32" s="19"/>
      <c r="Q32" s="19"/>
      <c r="R32" s="19"/>
      <c r="S32" s="19"/>
    </row>
    <row r="33" spans="1:19" ht="18" customHeight="1" x14ac:dyDescent="0.2">
      <c r="A33" s="2" t="s">
        <v>119</v>
      </c>
      <c r="B33" s="3" t="s">
        <v>120</v>
      </c>
      <c r="C33" s="4">
        <v>2</v>
      </c>
      <c r="D33" s="2" t="s">
        <v>24</v>
      </c>
      <c r="E33" s="3" t="s">
        <v>121</v>
      </c>
      <c r="F33" s="5" t="s">
        <v>122</v>
      </c>
      <c r="G33" s="6" t="s">
        <v>123</v>
      </c>
      <c r="H33" s="5" t="s">
        <v>124</v>
      </c>
      <c r="I33" s="6" t="s">
        <v>125</v>
      </c>
      <c r="J33" s="5" t="s">
        <v>126</v>
      </c>
      <c r="K33" s="6" t="s">
        <v>127</v>
      </c>
      <c r="L33" s="4"/>
      <c r="M33" s="4">
        <f t="shared" ref="M33:M51" si="1">IF(C33&lt;&gt;"",IF(ISNUMBER(C33),C33*L33,L33),0)</f>
        <v>0</v>
      </c>
      <c r="N33" s="7" t="s">
        <v>29</v>
      </c>
      <c r="O33" s="3"/>
      <c r="P33" s="2"/>
      <c r="Q33" s="2"/>
      <c r="R33" s="2"/>
      <c r="S33" s="4" t="s">
        <v>30</v>
      </c>
    </row>
    <row r="34" spans="1:19" ht="18" customHeight="1" x14ac:dyDescent="0.2">
      <c r="A34" s="8" t="s">
        <v>119</v>
      </c>
      <c r="B34" s="9" t="s">
        <v>128</v>
      </c>
      <c r="C34" s="10">
        <v>4</v>
      </c>
      <c r="D34" s="8" t="s">
        <v>24</v>
      </c>
      <c r="E34" s="9"/>
      <c r="F34" s="11" t="s">
        <v>124</v>
      </c>
      <c r="G34" s="12" t="s">
        <v>129</v>
      </c>
      <c r="H34" s="8"/>
      <c r="I34" s="12"/>
      <c r="J34" s="8"/>
      <c r="K34" s="12"/>
      <c r="L34" s="10"/>
      <c r="M34" s="10">
        <f t="shared" si="1"/>
        <v>0</v>
      </c>
      <c r="N34" s="7" t="s">
        <v>29</v>
      </c>
      <c r="O34" s="9"/>
      <c r="P34" s="8"/>
      <c r="Q34" s="8"/>
      <c r="R34" s="8"/>
      <c r="S34" s="10" t="s">
        <v>30</v>
      </c>
    </row>
    <row r="35" spans="1:19" ht="18" customHeight="1" x14ac:dyDescent="0.2">
      <c r="A35" s="2" t="s">
        <v>119</v>
      </c>
      <c r="B35" s="3" t="s">
        <v>130</v>
      </c>
      <c r="C35" s="4">
        <v>4</v>
      </c>
      <c r="D35" s="2" t="s">
        <v>24</v>
      </c>
      <c r="E35" s="3"/>
      <c r="F35" s="5" t="s">
        <v>126</v>
      </c>
      <c r="G35" s="6" t="s">
        <v>131</v>
      </c>
      <c r="H35" s="5" t="s">
        <v>124</v>
      </c>
      <c r="I35" s="6" t="s">
        <v>132</v>
      </c>
      <c r="J35" s="2"/>
      <c r="K35" s="6"/>
      <c r="L35" s="4"/>
      <c r="M35" s="4">
        <f t="shared" si="1"/>
        <v>0</v>
      </c>
      <c r="N35" s="7" t="s">
        <v>29</v>
      </c>
      <c r="O35" s="3"/>
      <c r="P35" s="2"/>
      <c r="Q35" s="2"/>
      <c r="R35" s="2"/>
      <c r="S35" s="4" t="s">
        <v>30</v>
      </c>
    </row>
    <row r="36" spans="1:19" ht="18" customHeight="1" x14ac:dyDescent="0.2">
      <c r="A36" s="8" t="s">
        <v>119</v>
      </c>
      <c r="B36" s="9" t="s">
        <v>133</v>
      </c>
      <c r="C36" s="10">
        <v>3</v>
      </c>
      <c r="D36" s="8" t="s">
        <v>24</v>
      </c>
      <c r="E36" s="9"/>
      <c r="F36" s="11" t="s">
        <v>126</v>
      </c>
      <c r="G36" s="12" t="s">
        <v>134</v>
      </c>
      <c r="H36" s="8"/>
      <c r="I36" s="12"/>
      <c r="J36" s="8"/>
      <c r="K36" s="12"/>
      <c r="L36" s="10"/>
      <c r="M36" s="10">
        <f t="shared" si="1"/>
        <v>0</v>
      </c>
      <c r="N36" s="7" t="s">
        <v>29</v>
      </c>
      <c r="O36" s="9"/>
      <c r="P36" s="8"/>
      <c r="Q36" s="8"/>
      <c r="R36" s="8"/>
      <c r="S36" s="10" t="s">
        <v>30</v>
      </c>
    </row>
    <row r="37" spans="1:19" ht="18" customHeight="1" x14ac:dyDescent="0.2">
      <c r="A37" s="2" t="s">
        <v>119</v>
      </c>
      <c r="B37" s="3" t="s">
        <v>135</v>
      </c>
      <c r="C37" s="4">
        <v>4</v>
      </c>
      <c r="D37" s="2" t="s">
        <v>24</v>
      </c>
      <c r="E37" s="3"/>
      <c r="F37" s="5" t="s">
        <v>126</v>
      </c>
      <c r="G37" s="6" t="s">
        <v>136</v>
      </c>
      <c r="H37" s="2"/>
      <c r="I37" s="6"/>
      <c r="J37" s="2"/>
      <c r="K37" s="6"/>
      <c r="L37" s="4"/>
      <c r="M37" s="4">
        <f t="shared" si="1"/>
        <v>0</v>
      </c>
      <c r="N37" s="7" t="s">
        <v>29</v>
      </c>
      <c r="O37" s="3"/>
      <c r="P37" s="2"/>
      <c r="Q37" s="2"/>
      <c r="R37" s="2"/>
      <c r="S37" s="4" t="s">
        <v>30</v>
      </c>
    </row>
    <row r="38" spans="1:19" ht="18" customHeight="1" x14ac:dyDescent="0.2">
      <c r="A38" s="8" t="s">
        <v>119</v>
      </c>
      <c r="B38" s="9" t="s">
        <v>137</v>
      </c>
      <c r="C38" s="10">
        <v>4</v>
      </c>
      <c r="D38" s="8" t="s">
        <v>24</v>
      </c>
      <c r="E38" s="9" t="s">
        <v>138</v>
      </c>
      <c r="F38" s="11" t="s">
        <v>126</v>
      </c>
      <c r="G38" s="12" t="s">
        <v>139</v>
      </c>
      <c r="H38" s="8"/>
      <c r="I38" s="12"/>
      <c r="J38" s="8"/>
      <c r="K38" s="12"/>
      <c r="L38" s="10"/>
      <c r="M38" s="10">
        <f t="shared" si="1"/>
        <v>0</v>
      </c>
      <c r="N38" s="7" t="s">
        <v>29</v>
      </c>
      <c r="O38" s="9"/>
      <c r="P38" s="8"/>
      <c r="Q38" s="8"/>
      <c r="R38" s="8"/>
      <c r="S38" s="10" t="s">
        <v>30</v>
      </c>
    </row>
    <row r="39" spans="1:19" ht="18" customHeight="1" x14ac:dyDescent="0.2">
      <c r="A39" s="2" t="s">
        <v>119</v>
      </c>
      <c r="B39" s="3" t="s">
        <v>140</v>
      </c>
      <c r="C39" s="4">
        <v>2</v>
      </c>
      <c r="D39" s="2" t="s">
        <v>24</v>
      </c>
      <c r="E39" s="3"/>
      <c r="F39" s="5" t="s">
        <v>126</v>
      </c>
      <c r="G39" s="6" t="s">
        <v>141</v>
      </c>
      <c r="H39" s="5" t="s">
        <v>142</v>
      </c>
      <c r="I39" s="6" t="s">
        <v>143</v>
      </c>
      <c r="J39" s="5" t="s">
        <v>144</v>
      </c>
      <c r="K39" s="6" t="s">
        <v>145</v>
      </c>
      <c r="L39" s="4"/>
      <c r="M39" s="4">
        <f t="shared" si="1"/>
        <v>0</v>
      </c>
      <c r="N39" s="7" t="s">
        <v>29</v>
      </c>
      <c r="O39" s="3"/>
      <c r="P39" s="2"/>
      <c r="Q39" s="2"/>
      <c r="R39" s="2"/>
      <c r="S39" s="4" t="s">
        <v>30</v>
      </c>
    </row>
    <row r="40" spans="1:19" ht="18" customHeight="1" x14ac:dyDescent="0.2">
      <c r="A40" s="8" t="s">
        <v>119</v>
      </c>
      <c r="B40" s="9" t="s">
        <v>146</v>
      </c>
      <c r="C40" s="10">
        <v>4</v>
      </c>
      <c r="D40" s="8" t="s">
        <v>24</v>
      </c>
      <c r="E40" s="9" t="s">
        <v>138</v>
      </c>
      <c r="F40" s="11" t="s">
        <v>126</v>
      </c>
      <c r="G40" s="12" t="s">
        <v>147</v>
      </c>
      <c r="H40" s="11" t="s">
        <v>142</v>
      </c>
      <c r="I40" s="12" t="s">
        <v>143</v>
      </c>
      <c r="J40" s="11" t="s">
        <v>144</v>
      </c>
      <c r="K40" s="12" t="s">
        <v>148</v>
      </c>
      <c r="L40" s="10"/>
      <c r="M40" s="10">
        <f t="shared" si="1"/>
        <v>0</v>
      </c>
      <c r="N40" s="7" t="s">
        <v>29</v>
      </c>
      <c r="O40" s="9"/>
      <c r="P40" s="8"/>
      <c r="Q40" s="8"/>
      <c r="R40" s="8"/>
      <c r="S40" s="10" t="s">
        <v>30</v>
      </c>
    </row>
    <row r="41" spans="1:19" ht="18" customHeight="1" x14ac:dyDescent="0.2">
      <c r="A41" s="2" t="s">
        <v>119</v>
      </c>
      <c r="B41" s="3" t="s">
        <v>149</v>
      </c>
      <c r="C41" s="4">
        <v>4</v>
      </c>
      <c r="D41" s="2" t="s">
        <v>24</v>
      </c>
      <c r="E41" s="3"/>
      <c r="F41" s="5" t="s">
        <v>126</v>
      </c>
      <c r="G41" s="6" t="s">
        <v>150</v>
      </c>
      <c r="H41" s="2"/>
      <c r="I41" s="6"/>
      <c r="J41" s="2"/>
      <c r="K41" s="6"/>
      <c r="L41" s="4"/>
      <c r="M41" s="4">
        <f t="shared" si="1"/>
        <v>0</v>
      </c>
      <c r="N41" s="7" t="s">
        <v>29</v>
      </c>
      <c r="O41" s="3"/>
      <c r="P41" s="2"/>
      <c r="Q41" s="2"/>
      <c r="R41" s="2"/>
      <c r="S41" s="4" t="s">
        <v>30</v>
      </c>
    </row>
    <row r="42" spans="1:19" ht="18" customHeight="1" x14ac:dyDescent="0.2">
      <c r="A42" s="8" t="s">
        <v>119</v>
      </c>
      <c r="B42" s="9" t="s">
        <v>151</v>
      </c>
      <c r="C42" s="10">
        <v>20</v>
      </c>
      <c r="D42" s="8" t="s">
        <v>24</v>
      </c>
      <c r="E42" s="9"/>
      <c r="F42" s="11" t="s">
        <v>152</v>
      </c>
      <c r="G42" s="12" t="s">
        <v>153</v>
      </c>
      <c r="H42" s="11" t="s">
        <v>154</v>
      </c>
      <c r="I42" s="12" t="s">
        <v>155</v>
      </c>
      <c r="J42" s="8"/>
      <c r="K42" s="12"/>
      <c r="L42" s="10"/>
      <c r="M42" s="10">
        <f t="shared" si="1"/>
        <v>0</v>
      </c>
      <c r="N42" s="7" t="s">
        <v>29</v>
      </c>
      <c r="O42" s="9"/>
      <c r="P42" s="8"/>
      <c r="Q42" s="8"/>
      <c r="R42" s="8"/>
      <c r="S42" s="10" t="s">
        <v>30</v>
      </c>
    </row>
    <row r="43" spans="1:19" ht="18" customHeight="1" x14ac:dyDescent="0.2">
      <c r="A43" s="2" t="s">
        <v>119</v>
      </c>
      <c r="B43" s="3" t="s">
        <v>156</v>
      </c>
      <c r="C43" s="4">
        <v>12</v>
      </c>
      <c r="D43" s="2" t="s">
        <v>24</v>
      </c>
      <c r="E43" s="3"/>
      <c r="F43" s="5" t="s">
        <v>152</v>
      </c>
      <c r="G43" s="6" t="s">
        <v>157</v>
      </c>
      <c r="H43" s="5" t="s">
        <v>154</v>
      </c>
      <c r="I43" s="6" t="s">
        <v>158</v>
      </c>
      <c r="J43" s="2"/>
      <c r="K43" s="6"/>
      <c r="L43" s="4"/>
      <c r="M43" s="4">
        <f t="shared" si="1"/>
        <v>0</v>
      </c>
      <c r="N43" s="7" t="s">
        <v>29</v>
      </c>
      <c r="O43" s="3"/>
      <c r="P43" s="2"/>
      <c r="Q43" s="2"/>
      <c r="R43" s="2"/>
      <c r="S43" s="4" t="s">
        <v>30</v>
      </c>
    </row>
    <row r="44" spans="1:19" ht="18" customHeight="1" x14ac:dyDescent="0.2">
      <c r="A44" s="8" t="s">
        <v>119</v>
      </c>
      <c r="B44" s="9" t="s">
        <v>159</v>
      </c>
      <c r="C44" s="10">
        <v>4</v>
      </c>
      <c r="D44" s="8" t="s">
        <v>24</v>
      </c>
      <c r="E44" s="9" t="s">
        <v>160</v>
      </c>
      <c r="F44" s="11" t="s">
        <v>161</v>
      </c>
      <c r="G44" s="12" t="s">
        <v>162</v>
      </c>
      <c r="H44" s="8"/>
      <c r="I44" s="12"/>
      <c r="J44" s="8"/>
      <c r="K44" s="12"/>
      <c r="L44" s="10"/>
      <c r="M44" s="10">
        <f t="shared" si="1"/>
        <v>0</v>
      </c>
      <c r="N44" s="7" t="s">
        <v>29</v>
      </c>
      <c r="O44" s="9"/>
      <c r="P44" s="8"/>
      <c r="Q44" s="8"/>
      <c r="R44" s="8"/>
      <c r="S44" s="10" t="s">
        <v>30</v>
      </c>
    </row>
    <row r="45" spans="1:19" ht="18" customHeight="1" x14ac:dyDescent="0.2">
      <c r="A45" s="2" t="s">
        <v>119</v>
      </c>
      <c r="B45" s="3" t="s">
        <v>163</v>
      </c>
      <c r="C45" s="4">
        <v>1</v>
      </c>
      <c r="D45" s="2" t="s">
        <v>24</v>
      </c>
      <c r="E45" s="3"/>
      <c r="F45" s="5" t="s">
        <v>161</v>
      </c>
      <c r="G45" s="6" t="s">
        <v>162</v>
      </c>
      <c r="H45" s="2"/>
      <c r="I45" s="6"/>
      <c r="J45" s="2"/>
      <c r="K45" s="6"/>
      <c r="L45" s="4"/>
      <c r="M45" s="4">
        <f t="shared" si="1"/>
        <v>0</v>
      </c>
      <c r="N45" s="7" t="s">
        <v>29</v>
      </c>
      <c r="O45" s="3"/>
      <c r="P45" s="2"/>
      <c r="Q45" s="2"/>
      <c r="R45" s="2"/>
      <c r="S45" s="4" t="s">
        <v>30</v>
      </c>
    </row>
    <row r="46" spans="1:19" ht="18" customHeight="1" x14ac:dyDescent="0.2">
      <c r="A46" s="8" t="s">
        <v>119</v>
      </c>
      <c r="B46" s="9" t="s">
        <v>164</v>
      </c>
      <c r="C46" s="10">
        <v>6</v>
      </c>
      <c r="D46" s="8" t="s">
        <v>165</v>
      </c>
      <c r="E46" s="9" t="s">
        <v>166</v>
      </c>
      <c r="F46" s="11" t="s">
        <v>167</v>
      </c>
      <c r="G46" s="12" t="s">
        <v>168</v>
      </c>
      <c r="H46" s="11" t="s">
        <v>169</v>
      </c>
      <c r="I46" s="12" t="s">
        <v>170</v>
      </c>
      <c r="J46" s="11" t="s">
        <v>171</v>
      </c>
      <c r="K46" s="12" t="s">
        <v>172</v>
      </c>
      <c r="L46" s="10"/>
      <c r="M46" s="10">
        <f t="shared" si="1"/>
        <v>0</v>
      </c>
      <c r="N46" s="7" t="s">
        <v>29</v>
      </c>
      <c r="O46" s="9"/>
      <c r="P46" s="8"/>
      <c r="Q46" s="8"/>
      <c r="R46" s="8"/>
      <c r="S46" s="10" t="s">
        <v>30</v>
      </c>
    </row>
    <row r="47" spans="1:19" ht="18" customHeight="1" x14ac:dyDescent="0.2">
      <c r="A47" s="2" t="s">
        <v>119</v>
      </c>
      <c r="B47" s="3" t="s">
        <v>173</v>
      </c>
      <c r="C47" s="4">
        <v>6</v>
      </c>
      <c r="D47" s="2" t="s">
        <v>174</v>
      </c>
      <c r="E47" s="3" t="s">
        <v>175</v>
      </c>
      <c r="F47" s="5" t="s">
        <v>167</v>
      </c>
      <c r="G47" s="6" t="s">
        <v>168</v>
      </c>
      <c r="H47" s="5" t="s">
        <v>169</v>
      </c>
      <c r="I47" s="6" t="s">
        <v>170</v>
      </c>
      <c r="J47" s="5" t="s">
        <v>171</v>
      </c>
      <c r="K47" s="6" t="s">
        <v>172</v>
      </c>
      <c r="L47" s="4"/>
      <c r="M47" s="4">
        <f t="shared" si="1"/>
        <v>0</v>
      </c>
      <c r="N47" s="7" t="s">
        <v>29</v>
      </c>
      <c r="O47" s="3"/>
      <c r="P47" s="2"/>
      <c r="Q47" s="2"/>
      <c r="R47" s="2"/>
      <c r="S47" s="4" t="s">
        <v>30</v>
      </c>
    </row>
    <row r="48" spans="1:19" ht="18" customHeight="1" x14ac:dyDescent="0.2">
      <c r="A48" s="8" t="s">
        <v>119</v>
      </c>
      <c r="B48" s="9" t="s">
        <v>173</v>
      </c>
      <c r="C48" s="10">
        <v>6</v>
      </c>
      <c r="D48" s="8" t="s">
        <v>176</v>
      </c>
      <c r="E48" s="9" t="s">
        <v>177</v>
      </c>
      <c r="F48" s="11" t="s">
        <v>167</v>
      </c>
      <c r="G48" s="12" t="s">
        <v>168</v>
      </c>
      <c r="H48" s="11" t="s">
        <v>169</v>
      </c>
      <c r="I48" s="12" t="s">
        <v>170</v>
      </c>
      <c r="J48" s="11" t="s">
        <v>171</v>
      </c>
      <c r="K48" s="12" t="s">
        <v>172</v>
      </c>
      <c r="L48" s="10"/>
      <c r="M48" s="10">
        <f t="shared" si="1"/>
        <v>0</v>
      </c>
      <c r="N48" s="7" t="s">
        <v>29</v>
      </c>
      <c r="O48" s="9"/>
      <c r="P48" s="8"/>
      <c r="Q48" s="8"/>
      <c r="R48" s="8"/>
      <c r="S48" s="10" t="s">
        <v>30</v>
      </c>
    </row>
    <row r="49" spans="1:19" ht="18" customHeight="1" x14ac:dyDescent="0.2">
      <c r="A49" s="2" t="s">
        <v>119</v>
      </c>
      <c r="B49" s="3" t="s">
        <v>178</v>
      </c>
      <c r="C49" s="4">
        <v>1</v>
      </c>
      <c r="D49" s="2" t="s">
        <v>165</v>
      </c>
      <c r="E49" s="3" t="s">
        <v>179</v>
      </c>
      <c r="F49" s="5" t="s">
        <v>167</v>
      </c>
      <c r="G49" s="6" t="s">
        <v>168</v>
      </c>
      <c r="H49" s="5" t="s">
        <v>169</v>
      </c>
      <c r="I49" s="6" t="s">
        <v>180</v>
      </c>
      <c r="J49" s="5" t="s">
        <v>171</v>
      </c>
      <c r="K49" s="6" t="s">
        <v>181</v>
      </c>
      <c r="L49" s="4"/>
      <c r="M49" s="4">
        <f t="shared" si="1"/>
        <v>0</v>
      </c>
      <c r="N49" s="7" t="s">
        <v>29</v>
      </c>
      <c r="O49" s="3"/>
      <c r="P49" s="2"/>
      <c r="Q49" s="2"/>
      <c r="R49" s="2"/>
      <c r="S49" s="4" t="s">
        <v>30</v>
      </c>
    </row>
    <row r="50" spans="1:19" ht="18" customHeight="1" x14ac:dyDescent="0.2">
      <c r="A50" s="8" t="s">
        <v>119</v>
      </c>
      <c r="B50" s="9" t="s">
        <v>182</v>
      </c>
      <c r="C50" s="10">
        <v>1</v>
      </c>
      <c r="D50" s="8" t="s">
        <v>174</v>
      </c>
      <c r="E50" s="9" t="s">
        <v>183</v>
      </c>
      <c r="F50" s="11" t="s">
        <v>167</v>
      </c>
      <c r="G50" s="12" t="s">
        <v>168</v>
      </c>
      <c r="H50" s="11" t="s">
        <v>169</v>
      </c>
      <c r="I50" s="12" t="s">
        <v>180</v>
      </c>
      <c r="J50" s="11" t="s">
        <v>171</v>
      </c>
      <c r="K50" s="12" t="s">
        <v>181</v>
      </c>
      <c r="L50" s="10"/>
      <c r="M50" s="10">
        <f t="shared" si="1"/>
        <v>0</v>
      </c>
      <c r="N50" s="7" t="s">
        <v>29</v>
      </c>
      <c r="O50" s="9"/>
      <c r="P50" s="8"/>
      <c r="Q50" s="8"/>
      <c r="R50" s="8"/>
      <c r="S50" s="10" t="s">
        <v>30</v>
      </c>
    </row>
    <row r="51" spans="1:19" ht="18" customHeight="1" x14ac:dyDescent="0.2">
      <c r="A51" s="2" t="s">
        <v>119</v>
      </c>
      <c r="B51" s="3" t="s">
        <v>182</v>
      </c>
      <c r="C51" s="4">
        <v>1</v>
      </c>
      <c r="D51" s="2" t="s">
        <v>176</v>
      </c>
      <c r="E51" s="3" t="s">
        <v>184</v>
      </c>
      <c r="F51" s="5" t="s">
        <v>167</v>
      </c>
      <c r="G51" s="6" t="s">
        <v>168</v>
      </c>
      <c r="H51" s="5" t="s">
        <v>169</v>
      </c>
      <c r="I51" s="6" t="s">
        <v>180</v>
      </c>
      <c r="J51" s="5" t="s">
        <v>171</v>
      </c>
      <c r="K51" s="6" t="s">
        <v>181</v>
      </c>
      <c r="L51" s="4"/>
      <c r="M51" s="4">
        <f t="shared" si="1"/>
        <v>0</v>
      </c>
      <c r="N51" s="7" t="s">
        <v>29</v>
      </c>
      <c r="O51" s="3"/>
      <c r="P51" s="2"/>
      <c r="Q51" s="2"/>
      <c r="R51" s="2"/>
      <c r="S51" s="4" t="s">
        <v>30</v>
      </c>
    </row>
    <row r="52" spans="1:19" ht="20" customHeight="1" x14ac:dyDescent="0.2">
      <c r="A52" s="18" t="s">
        <v>185</v>
      </c>
      <c r="B52" s="19"/>
      <c r="C52" s="19"/>
      <c r="D52" s="19"/>
      <c r="E52" s="19"/>
      <c r="F52" s="19"/>
      <c r="G52" s="19"/>
      <c r="H52" s="19"/>
      <c r="I52" s="19"/>
      <c r="J52" s="19"/>
      <c r="K52" s="19"/>
      <c r="L52" s="19"/>
      <c r="M52" s="19"/>
      <c r="N52" s="19"/>
      <c r="O52" s="19"/>
      <c r="P52" s="19"/>
      <c r="Q52" s="19"/>
      <c r="R52" s="19"/>
      <c r="S52" s="19"/>
    </row>
    <row r="53" spans="1:19" ht="18" customHeight="1" x14ac:dyDescent="0.2">
      <c r="A53" s="2" t="s">
        <v>186</v>
      </c>
      <c r="B53" s="3" t="s">
        <v>187</v>
      </c>
      <c r="C53" s="4">
        <v>4</v>
      </c>
      <c r="D53" s="2" t="s">
        <v>24</v>
      </c>
      <c r="E53" s="3" t="s">
        <v>188</v>
      </c>
      <c r="F53" s="5" t="s">
        <v>189</v>
      </c>
      <c r="G53" s="6" t="s">
        <v>190</v>
      </c>
      <c r="H53" s="5" t="s">
        <v>191</v>
      </c>
      <c r="I53" s="6" t="s">
        <v>192</v>
      </c>
      <c r="J53" s="5" t="s">
        <v>191</v>
      </c>
      <c r="K53" s="6" t="s">
        <v>193</v>
      </c>
      <c r="L53" s="4"/>
      <c r="M53" s="4">
        <f>IF(C53&lt;&gt;"",IF(ISNUMBER(C53),C53*L53,L53),0)</f>
        <v>0</v>
      </c>
      <c r="N53" s="7" t="s">
        <v>29</v>
      </c>
      <c r="O53" s="3"/>
      <c r="P53" s="2"/>
      <c r="Q53" s="2"/>
      <c r="R53" s="2"/>
      <c r="S53" s="4" t="s">
        <v>30</v>
      </c>
    </row>
    <row r="54" spans="1:19" ht="20" customHeight="1" x14ac:dyDescent="0.2">
      <c r="A54" s="18" t="s">
        <v>194</v>
      </c>
      <c r="B54" s="19"/>
      <c r="C54" s="19"/>
      <c r="D54" s="19"/>
      <c r="E54" s="19"/>
      <c r="F54" s="19"/>
      <c r="G54" s="19"/>
      <c r="H54" s="19"/>
      <c r="I54" s="19"/>
      <c r="J54" s="19"/>
      <c r="K54" s="19"/>
      <c r="L54" s="19"/>
      <c r="M54" s="19"/>
      <c r="N54" s="19"/>
      <c r="O54" s="19"/>
      <c r="P54" s="19"/>
      <c r="Q54" s="19"/>
      <c r="R54" s="19"/>
      <c r="S54" s="19"/>
    </row>
    <row r="55" spans="1:19" ht="18" customHeight="1" x14ac:dyDescent="0.2">
      <c r="A55" s="2" t="s">
        <v>195</v>
      </c>
      <c r="B55" s="3" t="s">
        <v>196</v>
      </c>
      <c r="C55" s="4">
        <v>3</v>
      </c>
      <c r="D55" s="2" t="s">
        <v>197</v>
      </c>
      <c r="E55" s="3"/>
      <c r="F55" s="5" t="s">
        <v>197</v>
      </c>
      <c r="G55" s="6" t="s">
        <v>198</v>
      </c>
      <c r="H55" s="5" t="s">
        <v>197</v>
      </c>
      <c r="I55" s="6" t="s">
        <v>199</v>
      </c>
      <c r="J55" s="2"/>
      <c r="K55" s="6"/>
      <c r="L55" s="4"/>
      <c r="M55" s="4">
        <f t="shared" ref="M55:M72" si="2">IF(C55&lt;&gt;"",IF(ISNUMBER(C55),C55*L55,L55),0)</f>
        <v>0</v>
      </c>
      <c r="N55" s="7" t="s">
        <v>29</v>
      </c>
      <c r="O55" s="3"/>
      <c r="P55" s="2"/>
      <c r="Q55" s="2"/>
      <c r="R55" s="2"/>
      <c r="S55" s="4" t="s">
        <v>30</v>
      </c>
    </row>
    <row r="56" spans="1:19" ht="18" customHeight="1" x14ac:dyDescent="0.2">
      <c r="A56" s="8" t="s">
        <v>195</v>
      </c>
      <c r="B56" s="9" t="s">
        <v>200</v>
      </c>
      <c r="C56" s="10">
        <v>1</v>
      </c>
      <c r="D56" s="8" t="s">
        <v>201</v>
      </c>
      <c r="E56" s="9" t="s">
        <v>202</v>
      </c>
      <c r="F56" s="11" t="s">
        <v>201</v>
      </c>
      <c r="G56" s="12" t="s">
        <v>203</v>
      </c>
      <c r="H56" s="11" t="s">
        <v>204</v>
      </c>
      <c r="I56" s="12" t="s">
        <v>205</v>
      </c>
      <c r="J56" s="11" t="s">
        <v>202</v>
      </c>
      <c r="K56" s="12" t="s">
        <v>206</v>
      </c>
      <c r="L56" s="10"/>
      <c r="M56" s="10">
        <f t="shared" si="2"/>
        <v>0</v>
      </c>
      <c r="N56" s="7" t="s">
        <v>29</v>
      </c>
      <c r="O56" s="9"/>
      <c r="P56" s="8"/>
      <c r="Q56" s="8"/>
      <c r="R56" s="8"/>
      <c r="S56" s="10" t="s">
        <v>30</v>
      </c>
    </row>
    <row r="57" spans="1:19" ht="18" customHeight="1" x14ac:dyDescent="0.2">
      <c r="A57" s="2" t="s">
        <v>195</v>
      </c>
      <c r="B57" s="3" t="s">
        <v>207</v>
      </c>
      <c r="C57" s="4">
        <v>1</v>
      </c>
      <c r="D57" s="2" t="s">
        <v>208</v>
      </c>
      <c r="E57" s="3" t="s">
        <v>209</v>
      </c>
      <c r="F57" s="5" t="s">
        <v>208</v>
      </c>
      <c r="G57" s="6" t="s">
        <v>210</v>
      </c>
      <c r="H57" s="2"/>
      <c r="I57" s="6"/>
      <c r="J57" s="2"/>
      <c r="K57" s="6"/>
      <c r="L57" s="4"/>
      <c r="M57" s="4">
        <f t="shared" si="2"/>
        <v>0</v>
      </c>
      <c r="N57" s="7" t="s">
        <v>29</v>
      </c>
      <c r="O57" s="3"/>
      <c r="P57" s="2"/>
      <c r="Q57" s="2"/>
      <c r="R57" s="2"/>
      <c r="S57" s="4" t="s">
        <v>30</v>
      </c>
    </row>
    <row r="58" spans="1:19" ht="18" customHeight="1" x14ac:dyDescent="0.2">
      <c r="A58" s="8" t="s">
        <v>195</v>
      </c>
      <c r="B58" s="9" t="s">
        <v>211</v>
      </c>
      <c r="C58" s="10">
        <v>1</v>
      </c>
      <c r="D58" s="8" t="s">
        <v>212</v>
      </c>
      <c r="E58" s="9" t="s">
        <v>213</v>
      </c>
      <c r="F58" s="11" t="s">
        <v>212</v>
      </c>
      <c r="G58" s="12" t="s">
        <v>214</v>
      </c>
      <c r="H58" s="11" t="s">
        <v>215</v>
      </c>
      <c r="I58" s="12" t="s">
        <v>216</v>
      </c>
      <c r="J58" s="11" t="s">
        <v>217</v>
      </c>
      <c r="K58" s="12" t="s">
        <v>218</v>
      </c>
      <c r="L58" s="10"/>
      <c r="M58" s="10">
        <f t="shared" si="2"/>
        <v>0</v>
      </c>
      <c r="N58" s="7" t="s">
        <v>29</v>
      </c>
      <c r="O58" s="9"/>
      <c r="P58" s="8"/>
      <c r="Q58" s="8"/>
      <c r="R58" s="8"/>
      <c r="S58" s="10" t="s">
        <v>30</v>
      </c>
    </row>
    <row r="59" spans="1:19" ht="18" customHeight="1" x14ac:dyDescent="0.2">
      <c r="A59" s="2" t="s">
        <v>195</v>
      </c>
      <c r="B59" s="3" t="s">
        <v>219</v>
      </c>
      <c r="C59" s="4">
        <v>6</v>
      </c>
      <c r="D59" s="2" t="s">
        <v>220</v>
      </c>
      <c r="E59" s="3" t="s">
        <v>221</v>
      </c>
      <c r="F59" s="5" t="s">
        <v>220</v>
      </c>
      <c r="G59" s="6" t="s">
        <v>222</v>
      </c>
      <c r="H59" s="5" t="s">
        <v>220</v>
      </c>
      <c r="I59" s="6" t="s">
        <v>223</v>
      </c>
      <c r="J59" s="5" t="s">
        <v>189</v>
      </c>
      <c r="K59" s="6" t="s">
        <v>224</v>
      </c>
      <c r="L59" s="4"/>
      <c r="M59" s="4">
        <f t="shared" si="2"/>
        <v>0</v>
      </c>
      <c r="N59" s="7" t="s">
        <v>29</v>
      </c>
      <c r="O59" s="3"/>
      <c r="P59" s="2"/>
      <c r="Q59" s="2"/>
      <c r="R59" s="2"/>
      <c r="S59" s="4" t="s">
        <v>30</v>
      </c>
    </row>
    <row r="60" spans="1:19" ht="18" customHeight="1" x14ac:dyDescent="0.2">
      <c r="A60" s="8" t="s">
        <v>195</v>
      </c>
      <c r="B60" s="9" t="s">
        <v>225</v>
      </c>
      <c r="C60" s="10">
        <v>1</v>
      </c>
      <c r="D60" s="8" t="s">
        <v>197</v>
      </c>
      <c r="E60" s="9"/>
      <c r="F60" s="11" t="s">
        <v>197</v>
      </c>
      <c r="G60" s="12" t="s">
        <v>226</v>
      </c>
      <c r="H60" s="11" t="s">
        <v>227</v>
      </c>
      <c r="I60" s="12" t="s">
        <v>228</v>
      </c>
      <c r="J60" s="8"/>
      <c r="K60" s="12"/>
      <c r="L60" s="10"/>
      <c r="M60" s="10">
        <f t="shared" si="2"/>
        <v>0</v>
      </c>
      <c r="N60" s="7" t="s">
        <v>29</v>
      </c>
      <c r="O60" s="9"/>
      <c r="P60" s="8"/>
      <c r="Q60" s="8"/>
      <c r="R60" s="8"/>
      <c r="S60" s="10" t="s">
        <v>30</v>
      </c>
    </row>
    <row r="61" spans="1:19" ht="18" customHeight="1" x14ac:dyDescent="0.2">
      <c r="A61" s="2" t="s">
        <v>195</v>
      </c>
      <c r="B61" s="3" t="s">
        <v>229</v>
      </c>
      <c r="C61" s="4">
        <v>1</v>
      </c>
      <c r="D61" s="2" t="s">
        <v>197</v>
      </c>
      <c r="E61" s="3" t="s">
        <v>230</v>
      </c>
      <c r="F61" s="5" t="s">
        <v>197</v>
      </c>
      <c r="G61" s="6" t="s">
        <v>231</v>
      </c>
      <c r="H61" s="2"/>
      <c r="I61" s="6"/>
      <c r="J61" s="2"/>
      <c r="K61" s="6"/>
      <c r="L61" s="4"/>
      <c r="M61" s="4">
        <f t="shared" si="2"/>
        <v>0</v>
      </c>
      <c r="N61" s="7" t="s">
        <v>29</v>
      </c>
      <c r="O61" s="3"/>
      <c r="P61" s="2"/>
      <c r="Q61" s="2"/>
      <c r="R61" s="2"/>
      <c r="S61" s="4" t="s">
        <v>30</v>
      </c>
    </row>
    <row r="62" spans="1:19" ht="18" customHeight="1" x14ac:dyDescent="0.2">
      <c r="A62" s="8" t="s">
        <v>195</v>
      </c>
      <c r="B62" s="9" t="s">
        <v>232</v>
      </c>
      <c r="C62" s="10">
        <v>1</v>
      </c>
      <c r="D62" s="8" t="s">
        <v>233</v>
      </c>
      <c r="E62" s="9" t="s">
        <v>234</v>
      </c>
      <c r="F62" s="11" t="s">
        <v>233</v>
      </c>
      <c r="G62" s="12" t="s">
        <v>235</v>
      </c>
      <c r="H62" s="11" t="s">
        <v>236</v>
      </c>
      <c r="I62" s="12" t="s">
        <v>237</v>
      </c>
      <c r="J62" s="8"/>
      <c r="K62" s="12"/>
      <c r="L62" s="10"/>
      <c r="M62" s="10">
        <f t="shared" si="2"/>
        <v>0</v>
      </c>
      <c r="N62" s="7" t="s">
        <v>29</v>
      </c>
      <c r="O62" s="9"/>
      <c r="P62" s="8"/>
      <c r="Q62" s="8"/>
      <c r="R62" s="8"/>
      <c r="S62" s="10" t="s">
        <v>30</v>
      </c>
    </row>
    <row r="63" spans="1:19" ht="18" customHeight="1" x14ac:dyDescent="0.2">
      <c r="A63" s="2" t="s">
        <v>195</v>
      </c>
      <c r="B63" s="3" t="s">
        <v>238</v>
      </c>
      <c r="C63" s="4">
        <v>2</v>
      </c>
      <c r="D63" s="2" t="s">
        <v>197</v>
      </c>
      <c r="E63" s="3" t="s">
        <v>239</v>
      </c>
      <c r="F63" s="5" t="s">
        <v>197</v>
      </c>
      <c r="G63" s="6" t="s">
        <v>240</v>
      </c>
      <c r="H63" s="2"/>
      <c r="I63" s="6"/>
      <c r="J63" s="2"/>
      <c r="K63" s="6"/>
      <c r="L63" s="4"/>
      <c r="M63" s="4">
        <f t="shared" si="2"/>
        <v>0</v>
      </c>
      <c r="N63" s="7" t="s">
        <v>29</v>
      </c>
      <c r="O63" s="3"/>
      <c r="P63" s="2"/>
      <c r="Q63" s="2"/>
      <c r="R63" s="2"/>
      <c r="S63" s="4" t="s">
        <v>30</v>
      </c>
    </row>
    <row r="64" spans="1:19" ht="18" customHeight="1" x14ac:dyDescent="0.2">
      <c r="A64" s="8" t="s">
        <v>195</v>
      </c>
      <c r="B64" s="9" t="s">
        <v>241</v>
      </c>
      <c r="C64" s="10">
        <v>2</v>
      </c>
      <c r="D64" s="8" t="s">
        <v>197</v>
      </c>
      <c r="E64" s="9" t="s">
        <v>242</v>
      </c>
      <c r="F64" s="11" t="s">
        <v>197</v>
      </c>
      <c r="G64" s="12" t="s">
        <v>243</v>
      </c>
      <c r="H64" s="8"/>
      <c r="I64" s="12"/>
      <c r="J64" s="8"/>
      <c r="K64" s="12"/>
      <c r="L64" s="10"/>
      <c r="M64" s="10">
        <f t="shared" si="2"/>
        <v>0</v>
      </c>
      <c r="N64" s="7" t="s">
        <v>29</v>
      </c>
      <c r="O64" s="9"/>
      <c r="P64" s="8"/>
      <c r="Q64" s="8"/>
      <c r="R64" s="8"/>
      <c r="S64" s="10" t="s">
        <v>30</v>
      </c>
    </row>
    <row r="65" spans="1:19" ht="18" customHeight="1" x14ac:dyDescent="0.2">
      <c r="A65" s="2" t="s">
        <v>195</v>
      </c>
      <c r="B65" s="3" t="s">
        <v>244</v>
      </c>
      <c r="C65" s="4">
        <v>1</v>
      </c>
      <c r="D65" s="2" t="s">
        <v>197</v>
      </c>
      <c r="E65" s="3" t="s">
        <v>245</v>
      </c>
      <c r="F65" s="5" t="s">
        <v>197</v>
      </c>
      <c r="G65" s="6" t="s">
        <v>246</v>
      </c>
      <c r="H65" s="5" t="s">
        <v>247</v>
      </c>
      <c r="I65" s="6" t="s">
        <v>248</v>
      </c>
      <c r="J65" s="2"/>
      <c r="K65" s="6"/>
      <c r="L65" s="4"/>
      <c r="M65" s="4">
        <f t="shared" si="2"/>
        <v>0</v>
      </c>
      <c r="N65" s="7" t="s">
        <v>29</v>
      </c>
      <c r="O65" s="3"/>
      <c r="P65" s="2"/>
      <c r="Q65" s="2"/>
      <c r="R65" s="2"/>
      <c r="S65" s="4" t="s">
        <v>30</v>
      </c>
    </row>
    <row r="66" spans="1:19" ht="18" customHeight="1" x14ac:dyDescent="0.2">
      <c r="A66" s="8" t="s">
        <v>195</v>
      </c>
      <c r="B66" s="9" t="s">
        <v>249</v>
      </c>
      <c r="C66" s="10">
        <v>1</v>
      </c>
      <c r="D66" s="8" t="s">
        <v>197</v>
      </c>
      <c r="E66" s="9" t="s">
        <v>250</v>
      </c>
      <c r="F66" s="11" t="s">
        <v>197</v>
      </c>
      <c r="G66" s="12" t="s">
        <v>251</v>
      </c>
      <c r="H66" s="11" t="s">
        <v>247</v>
      </c>
      <c r="I66" s="12" t="s">
        <v>252</v>
      </c>
      <c r="J66" s="8"/>
      <c r="K66" s="12"/>
      <c r="L66" s="10"/>
      <c r="M66" s="10">
        <f t="shared" si="2"/>
        <v>0</v>
      </c>
      <c r="N66" s="7" t="s">
        <v>29</v>
      </c>
      <c r="O66" s="9"/>
      <c r="P66" s="8"/>
      <c r="Q66" s="8"/>
      <c r="R66" s="8"/>
      <c r="S66" s="10" t="s">
        <v>30</v>
      </c>
    </row>
    <row r="67" spans="1:19" ht="18" customHeight="1" x14ac:dyDescent="0.2">
      <c r="A67" s="2" t="s">
        <v>195</v>
      </c>
      <c r="B67" s="3" t="s">
        <v>253</v>
      </c>
      <c r="C67" s="4">
        <v>1</v>
      </c>
      <c r="D67" s="2" t="s">
        <v>254</v>
      </c>
      <c r="E67" s="3" t="s">
        <v>255</v>
      </c>
      <c r="F67" s="5" t="s">
        <v>254</v>
      </c>
      <c r="G67" s="6" t="s">
        <v>256</v>
      </c>
      <c r="H67" s="2"/>
      <c r="I67" s="6"/>
      <c r="J67" s="2"/>
      <c r="K67" s="6"/>
      <c r="L67" s="4"/>
      <c r="M67" s="4">
        <f t="shared" si="2"/>
        <v>0</v>
      </c>
      <c r="N67" s="7" t="s">
        <v>29</v>
      </c>
      <c r="O67" s="3"/>
      <c r="P67" s="2"/>
      <c r="Q67" s="2"/>
      <c r="R67" s="2"/>
      <c r="S67" s="4" t="s">
        <v>30</v>
      </c>
    </row>
    <row r="68" spans="1:19" ht="18" customHeight="1" x14ac:dyDescent="0.2">
      <c r="A68" s="8" t="s">
        <v>195</v>
      </c>
      <c r="B68" s="9" t="s">
        <v>257</v>
      </c>
      <c r="C68" s="10">
        <v>1</v>
      </c>
      <c r="D68" s="8" t="s">
        <v>258</v>
      </c>
      <c r="E68" s="9" t="s">
        <v>259</v>
      </c>
      <c r="F68" s="11" t="s">
        <v>258</v>
      </c>
      <c r="G68" s="12" t="s">
        <v>260</v>
      </c>
      <c r="H68" s="11" t="s">
        <v>189</v>
      </c>
      <c r="I68" s="12" t="s">
        <v>261</v>
      </c>
      <c r="J68" s="8"/>
      <c r="K68" s="12"/>
      <c r="L68" s="10"/>
      <c r="M68" s="10">
        <f t="shared" si="2"/>
        <v>0</v>
      </c>
      <c r="N68" s="7" t="s">
        <v>29</v>
      </c>
      <c r="O68" s="9"/>
      <c r="P68" s="8"/>
      <c r="Q68" s="8"/>
      <c r="R68" s="8"/>
      <c r="S68" s="10" t="s">
        <v>30</v>
      </c>
    </row>
    <row r="69" spans="1:19" ht="18" customHeight="1" x14ac:dyDescent="0.2">
      <c r="A69" s="2" t="s">
        <v>195</v>
      </c>
      <c r="B69" s="3" t="s">
        <v>262</v>
      </c>
      <c r="C69" s="4">
        <v>1</v>
      </c>
      <c r="D69" s="2" t="s">
        <v>258</v>
      </c>
      <c r="E69" s="3"/>
      <c r="F69" s="5" t="s">
        <v>258</v>
      </c>
      <c r="G69" s="6" t="s">
        <v>263</v>
      </c>
      <c r="H69" s="5" t="s">
        <v>189</v>
      </c>
      <c r="I69" s="6" t="s">
        <v>264</v>
      </c>
      <c r="J69" s="2"/>
      <c r="K69" s="6"/>
      <c r="L69" s="4"/>
      <c r="M69" s="4">
        <f t="shared" si="2"/>
        <v>0</v>
      </c>
      <c r="N69" s="7" t="s">
        <v>29</v>
      </c>
      <c r="O69" s="3"/>
      <c r="P69" s="2"/>
      <c r="Q69" s="2"/>
      <c r="R69" s="2"/>
      <c r="S69" s="4" t="s">
        <v>30</v>
      </c>
    </row>
    <row r="70" spans="1:19" ht="18" customHeight="1" x14ac:dyDescent="0.2">
      <c r="A70" s="8" t="s">
        <v>195</v>
      </c>
      <c r="B70" s="9" t="s">
        <v>265</v>
      </c>
      <c r="C70" s="10">
        <v>3</v>
      </c>
      <c r="D70" s="8" t="s">
        <v>208</v>
      </c>
      <c r="E70" s="9"/>
      <c r="F70" s="11" t="s">
        <v>208</v>
      </c>
      <c r="G70" s="12" t="s">
        <v>266</v>
      </c>
      <c r="H70" s="11" t="s">
        <v>258</v>
      </c>
      <c r="I70" s="12" t="s">
        <v>267</v>
      </c>
      <c r="J70" s="11" t="s">
        <v>189</v>
      </c>
      <c r="K70" s="12" t="s">
        <v>268</v>
      </c>
      <c r="L70" s="10"/>
      <c r="M70" s="10">
        <f t="shared" si="2"/>
        <v>0</v>
      </c>
      <c r="N70" s="7" t="s">
        <v>29</v>
      </c>
      <c r="O70" s="9"/>
      <c r="P70" s="8"/>
      <c r="Q70" s="8"/>
      <c r="R70" s="8"/>
      <c r="S70" s="10" t="s">
        <v>30</v>
      </c>
    </row>
    <row r="71" spans="1:19" ht="18" customHeight="1" x14ac:dyDescent="0.2">
      <c r="A71" s="2" t="s">
        <v>195</v>
      </c>
      <c r="B71" s="3" t="s">
        <v>269</v>
      </c>
      <c r="C71" s="4">
        <v>1</v>
      </c>
      <c r="D71" s="2" t="s">
        <v>191</v>
      </c>
      <c r="E71" s="3"/>
      <c r="F71" s="5" t="s">
        <v>191</v>
      </c>
      <c r="G71" s="6" t="s">
        <v>270</v>
      </c>
      <c r="H71" s="2"/>
      <c r="I71" s="6"/>
      <c r="J71" s="2"/>
      <c r="K71" s="6"/>
      <c r="L71" s="4"/>
      <c r="M71" s="4">
        <f t="shared" si="2"/>
        <v>0</v>
      </c>
      <c r="N71" s="7" t="s">
        <v>29</v>
      </c>
      <c r="O71" s="3"/>
      <c r="P71" s="2"/>
      <c r="Q71" s="2"/>
      <c r="R71" s="2"/>
      <c r="S71" s="4" t="s">
        <v>30</v>
      </c>
    </row>
    <row r="72" spans="1:19" ht="18" customHeight="1" x14ac:dyDescent="0.2">
      <c r="A72" s="8" t="s">
        <v>195</v>
      </c>
      <c r="B72" s="9" t="s">
        <v>271</v>
      </c>
      <c r="C72" s="10">
        <v>1</v>
      </c>
      <c r="D72" s="8" t="s">
        <v>24</v>
      </c>
      <c r="E72" s="9"/>
      <c r="F72" s="11" t="s">
        <v>197</v>
      </c>
      <c r="G72" s="12" t="s">
        <v>272</v>
      </c>
      <c r="H72" s="8"/>
      <c r="I72" s="12"/>
      <c r="J72" s="8"/>
      <c r="K72" s="12"/>
      <c r="L72" s="10"/>
      <c r="M72" s="10">
        <f t="shared" si="2"/>
        <v>0</v>
      </c>
      <c r="N72" s="7" t="s">
        <v>29</v>
      </c>
      <c r="O72" s="9"/>
      <c r="P72" s="8"/>
      <c r="Q72" s="8"/>
      <c r="R72" s="8"/>
      <c r="S72" s="10" t="s">
        <v>30</v>
      </c>
    </row>
    <row r="73" spans="1:19" ht="20" customHeight="1" x14ac:dyDescent="0.2">
      <c r="A73" s="18" t="s">
        <v>273</v>
      </c>
      <c r="B73" s="19"/>
      <c r="C73" s="19"/>
      <c r="D73" s="19"/>
      <c r="E73" s="19"/>
      <c r="F73" s="19"/>
      <c r="G73" s="19"/>
      <c r="H73" s="19"/>
      <c r="I73" s="19"/>
      <c r="J73" s="19"/>
      <c r="K73" s="19"/>
      <c r="L73" s="19"/>
      <c r="M73" s="19"/>
      <c r="N73" s="19"/>
      <c r="O73" s="19"/>
      <c r="P73" s="19"/>
      <c r="Q73" s="19"/>
      <c r="R73" s="19"/>
      <c r="S73" s="19"/>
    </row>
    <row r="74" spans="1:19" ht="18" customHeight="1" x14ac:dyDescent="0.2">
      <c r="A74" s="8" t="s">
        <v>274</v>
      </c>
      <c r="B74" s="9" t="s">
        <v>275</v>
      </c>
      <c r="C74" s="10">
        <v>1</v>
      </c>
      <c r="D74" s="8" t="s">
        <v>24</v>
      </c>
      <c r="E74" s="9"/>
      <c r="F74" s="11" t="s">
        <v>276</v>
      </c>
      <c r="G74" s="12" t="s">
        <v>277</v>
      </c>
      <c r="H74" s="8"/>
      <c r="I74" s="12"/>
      <c r="J74" s="8"/>
      <c r="K74" s="12"/>
      <c r="L74" s="10"/>
      <c r="M74" s="10">
        <f t="shared" ref="M74:M80" si="3">IF(C74&lt;&gt;"",IF(ISNUMBER(C74),C74*L74,L74),0)</f>
        <v>0</v>
      </c>
      <c r="N74" s="7" t="s">
        <v>29</v>
      </c>
      <c r="O74" s="9"/>
      <c r="P74" s="8"/>
      <c r="Q74" s="8"/>
      <c r="R74" s="8"/>
      <c r="S74" s="10" t="s">
        <v>30</v>
      </c>
    </row>
    <row r="75" spans="1:19" ht="18" customHeight="1" x14ac:dyDescent="0.2">
      <c r="A75" s="2" t="s">
        <v>274</v>
      </c>
      <c r="B75" s="3" t="s">
        <v>278</v>
      </c>
      <c r="C75" s="4">
        <v>1</v>
      </c>
      <c r="D75" s="2" t="s">
        <v>24</v>
      </c>
      <c r="E75" s="3"/>
      <c r="F75" s="5" t="s">
        <v>279</v>
      </c>
      <c r="G75" s="6" t="s">
        <v>280</v>
      </c>
      <c r="H75" s="2"/>
      <c r="I75" s="6"/>
      <c r="J75" s="2"/>
      <c r="K75" s="6"/>
      <c r="L75" s="4"/>
      <c r="M75" s="4">
        <f t="shared" si="3"/>
        <v>0</v>
      </c>
      <c r="N75" s="7" t="s">
        <v>29</v>
      </c>
      <c r="O75" s="3"/>
      <c r="P75" s="2"/>
      <c r="Q75" s="2"/>
      <c r="R75" s="2"/>
      <c r="S75" s="4" t="s">
        <v>30</v>
      </c>
    </row>
    <row r="76" spans="1:19" ht="18" customHeight="1" x14ac:dyDescent="0.2">
      <c r="A76" s="8" t="s">
        <v>274</v>
      </c>
      <c r="B76" s="9" t="s">
        <v>281</v>
      </c>
      <c r="C76" s="10">
        <v>1</v>
      </c>
      <c r="D76" s="8" t="s">
        <v>24</v>
      </c>
      <c r="E76" s="9" t="s">
        <v>282</v>
      </c>
      <c r="F76" s="11" t="s">
        <v>189</v>
      </c>
      <c r="G76" s="12" t="s">
        <v>283</v>
      </c>
      <c r="H76" s="8"/>
      <c r="I76" s="12"/>
      <c r="J76" s="8"/>
      <c r="K76" s="12"/>
      <c r="L76" s="10"/>
      <c r="M76" s="10">
        <f t="shared" si="3"/>
        <v>0</v>
      </c>
      <c r="N76" s="7" t="s">
        <v>29</v>
      </c>
      <c r="O76" s="9"/>
      <c r="P76" s="8"/>
      <c r="Q76" s="8"/>
      <c r="R76" s="8"/>
      <c r="S76" s="10" t="s">
        <v>30</v>
      </c>
    </row>
    <row r="77" spans="1:19" ht="18" customHeight="1" x14ac:dyDescent="0.2">
      <c r="A77" s="2" t="s">
        <v>274</v>
      </c>
      <c r="B77" s="3" t="s">
        <v>284</v>
      </c>
      <c r="C77" s="4">
        <v>2</v>
      </c>
      <c r="D77" s="2" t="s">
        <v>24</v>
      </c>
      <c r="E77" s="3"/>
      <c r="F77" s="5" t="s">
        <v>285</v>
      </c>
      <c r="G77" s="6" t="s">
        <v>286</v>
      </c>
      <c r="H77" s="5" t="s">
        <v>189</v>
      </c>
      <c r="I77" s="6" t="s">
        <v>287</v>
      </c>
      <c r="J77" s="2"/>
      <c r="K77" s="6"/>
      <c r="L77" s="4"/>
      <c r="M77" s="4">
        <f t="shared" si="3"/>
        <v>0</v>
      </c>
      <c r="N77" s="7" t="s">
        <v>29</v>
      </c>
      <c r="O77" s="3"/>
      <c r="P77" s="2"/>
      <c r="Q77" s="2"/>
      <c r="R77" s="2"/>
      <c r="S77" s="4" t="s">
        <v>30</v>
      </c>
    </row>
    <row r="78" spans="1:19" ht="18" customHeight="1" x14ac:dyDescent="0.2">
      <c r="A78" s="8" t="s">
        <v>274</v>
      </c>
      <c r="B78" s="9" t="s">
        <v>288</v>
      </c>
      <c r="C78" s="10">
        <v>7</v>
      </c>
      <c r="D78" s="8" t="s">
        <v>24</v>
      </c>
      <c r="E78" s="9"/>
      <c r="F78" s="11" t="s">
        <v>285</v>
      </c>
      <c r="G78" s="12" t="s">
        <v>289</v>
      </c>
      <c r="H78" s="8" t="s">
        <v>189</v>
      </c>
      <c r="I78" s="12"/>
      <c r="J78" s="8"/>
      <c r="K78" s="12"/>
      <c r="L78" s="10"/>
      <c r="M78" s="10">
        <f t="shared" si="3"/>
        <v>0</v>
      </c>
      <c r="N78" s="7" t="s">
        <v>29</v>
      </c>
      <c r="O78" s="9"/>
      <c r="P78" s="8"/>
      <c r="Q78" s="8"/>
      <c r="R78" s="8"/>
      <c r="S78" s="10" t="s">
        <v>30</v>
      </c>
    </row>
    <row r="79" spans="1:19" ht="18" customHeight="1" x14ac:dyDescent="0.2">
      <c r="A79" s="2" t="s">
        <v>274</v>
      </c>
      <c r="B79" s="3" t="s">
        <v>290</v>
      </c>
      <c r="C79" s="4">
        <v>2</v>
      </c>
      <c r="D79" s="2" t="s">
        <v>24</v>
      </c>
      <c r="E79" s="3" t="s">
        <v>291</v>
      </c>
      <c r="F79" s="2"/>
      <c r="G79" s="6"/>
      <c r="H79" s="2"/>
      <c r="I79" s="6"/>
      <c r="J79" s="2"/>
      <c r="K79" s="6"/>
      <c r="L79" s="4"/>
      <c r="M79" s="4">
        <f t="shared" si="3"/>
        <v>0</v>
      </c>
      <c r="N79" s="7" t="s">
        <v>29</v>
      </c>
      <c r="O79" s="3"/>
      <c r="P79" s="2"/>
      <c r="Q79" s="2"/>
      <c r="R79" s="2"/>
      <c r="S79" s="4" t="s">
        <v>30</v>
      </c>
    </row>
    <row r="80" spans="1:19" ht="18" customHeight="1" x14ac:dyDescent="0.2">
      <c r="A80" s="8" t="s">
        <v>274</v>
      </c>
      <c r="B80" s="9" t="s">
        <v>292</v>
      </c>
      <c r="C80" s="10">
        <v>1</v>
      </c>
      <c r="D80" s="8" t="s">
        <v>24</v>
      </c>
      <c r="E80" s="9"/>
      <c r="F80" s="11" t="s">
        <v>293</v>
      </c>
      <c r="G80" s="12" t="s">
        <v>294</v>
      </c>
      <c r="H80" s="8"/>
      <c r="I80" s="12"/>
      <c r="J80" s="8"/>
      <c r="K80" s="12"/>
      <c r="L80" s="10"/>
      <c r="M80" s="10">
        <f t="shared" si="3"/>
        <v>0</v>
      </c>
      <c r="N80" s="7" t="s">
        <v>29</v>
      </c>
      <c r="O80" s="9"/>
      <c r="P80" s="8"/>
      <c r="Q80" s="8"/>
      <c r="R80" s="8"/>
      <c r="S80" s="10" t="s">
        <v>30</v>
      </c>
    </row>
    <row r="81" spans="1:19" ht="20" customHeight="1" x14ac:dyDescent="0.2">
      <c r="A81" s="18" t="s">
        <v>295</v>
      </c>
      <c r="B81" s="19"/>
      <c r="C81" s="19"/>
      <c r="D81" s="19"/>
      <c r="E81" s="19"/>
      <c r="F81" s="19"/>
      <c r="G81" s="19"/>
      <c r="H81" s="19"/>
      <c r="I81" s="19"/>
      <c r="J81" s="19"/>
      <c r="K81" s="19"/>
      <c r="L81" s="19"/>
      <c r="M81" s="19"/>
      <c r="N81" s="19"/>
      <c r="O81" s="19"/>
      <c r="P81" s="19"/>
      <c r="Q81" s="19"/>
      <c r="R81" s="19"/>
      <c r="S81" s="19"/>
    </row>
    <row r="82" spans="1:19" ht="18" customHeight="1" x14ac:dyDescent="0.2">
      <c r="A82" s="8" t="s">
        <v>296</v>
      </c>
      <c r="B82" s="9" t="s">
        <v>297</v>
      </c>
      <c r="C82" s="10">
        <v>4</v>
      </c>
      <c r="D82" s="8" t="s">
        <v>24</v>
      </c>
      <c r="E82" s="9"/>
      <c r="F82" s="11" t="s">
        <v>298</v>
      </c>
      <c r="G82" s="12" t="s">
        <v>299</v>
      </c>
      <c r="H82" s="8"/>
      <c r="I82" s="12"/>
      <c r="J82" s="8"/>
      <c r="K82" s="12"/>
      <c r="L82" s="10"/>
      <c r="M82" s="10">
        <f>IF(C82&lt;&gt;"",IF(ISNUMBER(C82),C82*L82,L82),0)</f>
        <v>0</v>
      </c>
      <c r="N82" s="7" t="s">
        <v>29</v>
      </c>
      <c r="O82" s="9"/>
      <c r="P82" s="8"/>
      <c r="Q82" s="8"/>
      <c r="R82" s="8"/>
      <c r="S82" s="10" t="s">
        <v>30</v>
      </c>
    </row>
    <row r="83" spans="1:19" ht="18" customHeight="1" x14ac:dyDescent="0.2">
      <c r="A83" s="2" t="s">
        <v>296</v>
      </c>
      <c r="B83" s="3" t="s">
        <v>300</v>
      </c>
      <c r="C83" s="4">
        <v>18</v>
      </c>
      <c r="D83" s="2" t="s">
        <v>165</v>
      </c>
      <c r="E83" s="3" t="s">
        <v>301</v>
      </c>
      <c r="F83" s="5" t="s">
        <v>110</v>
      </c>
      <c r="G83" s="6" t="s">
        <v>302</v>
      </c>
      <c r="H83" s="2"/>
      <c r="I83" s="6"/>
      <c r="J83" s="2"/>
      <c r="K83" s="6"/>
      <c r="L83" s="4"/>
      <c r="M83" s="4">
        <f>IF(C83&lt;&gt;"",IF(ISNUMBER(C83),C83*L83,L83),0)</f>
        <v>0</v>
      </c>
      <c r="N83" s="7" t="s">
        <v>29</v>
      </c>
      <c r="O83" s="3"/>
      <c r="P83" s="2"/>
      <c r="Q83" s="2"/>
      <c r="R83" s="2"/>
      <c r="S83" s="4" t="s">
        <v>30</v>
      </c>
    </row>
    <row r="84" spans="1:19" ht="18" customHeight="1" x14ac:dyDescent="0.2">
      <c r="A84" s="8" t="s">
        <v>296</v>
      </c>
      <c r="B84" s="9" t="s">
        <v>300</v>
      </c>
      <c r="C84" s="10"/>
      <c r="D84" s="8" t="s">
        <v>174</v>
      </c>
      <c r="E84" s="9"/>
      <c r="F84" s="8"/>
      <c r="G84" s="12"/>
      <c r="H84" s="8"/>
      <c r="I84" s="12"/>
      <c r="J84" s="8"/>
      <c r="K84" s="12"/>
      <c r="L84" s="10"/>
      <c r="M84" s="10">
        <f>IF(C84&lt;&gt;"",IF(ISNUMBER(C84),C84*L84,L84),0)</f>
        <v>0</v>
      </c>
      <c r="N84" s="7" t="s">
        <v>29</v>
      </c>
      <c r="O84" s="9"/>
      <c r="P84" s="8"/>
      <c r="Q84" s="8"/>
      <c r="R84" s="8"/>
      <c r="S84" s="10" t="s">
        <v>30</v>
      </c>
    </row>
    <row r="85" spans="1:19" ht="18" customHeight="1" x14ac:dyDescent="0.2">
      <c r="A85" s="2" t="s">
        <v>296</v>
      </c>
      <c r="B85" s="3" t="s">
        <v>300</v>
      </c>
      <c r="C85" s="4"/>
      <c r="D85" s="2" t="s">
        <v>176</v>
      </c>
      <c r="E85" s="3"/>
      <c r="F85" s="2"/>
      <c r="G85" s="6"/>
      <c r="H85" s="2"/>
      <c r="I85" s="6"/>
      <c r="J85" s="2"/>
      <c r="K85" s="6"/>
      <c r="L85" s="4"/>
      <c r="M85" s="4">
        <f>IF(C85&lt;&gt;"",IF(ISNUMBER(C85),C85*L85,L85),0)</f>
        <v>0</v>
      </c>
      <c r="N85" s="7" t="s">
        <v>29</v>
      </c>
      <c r="O85" s="3"/>
      <c r="P85" s="2"/>
      <c r="Q85" s="2"/>
      <c r="R85" s="2"/>
      <c r="S85" s="4" t="s">
        <v>30</v>
      </c>
    </row>
    <row r="86" spans="1:19" ht="20" customHeight="1" x14ac:dyDescent="0.2">
      <c r="A86" s="18" t="s">
        <v>303</v>
      </c>
      <c r="B86" s="19"/>
      <c r="C86" s="19"/>
      <c r="D86" s="19"/>
      <c r="E86" s="19"/>
      <c r="F86" s="19"/>
      <c r="G86" s="19"/>
      <c r="H86" s="19"/>
      <c r="I86" s="19"/>
      <c r="J86" s="19"/>
      <c r="K86" s="19"/>
      <c r="L86" s="19"/>
      <c r="M86" s="19"/>
      <c r="N86" s="19"/>
      <c r="O86" s="19"/>
      <c r="P86" s="19"/>
      <c r="Q86" s="19"/>
      <c r="R86" s="19"/>
      <c r="S86" s="19"/>
    </row>
    <row r="87" spans="1:19" ht="18" customHeight="1" x14ac:dyDescent="0.2">
      <c r="A87" s="2" t="s">
        <v>304</v>
      </c>
      <c r="B87" s="3" t="s">
        <v>305</v>
      </c>
      <c r="C87" s="4"/>
      <c r="D87" s="2" t="s">
        <v>24</v>
      </c>
      <c r="E87" s="3"/>
      <c r="F87" s="5" t="s">
        <v>87</v>
      </c>
      <c r="G87" s="6" t="s">
        <v>306</v>
      </c>
      <c r="H87" s="5" t="s">
        <v>122</v>
      </c>
      <c r="I87" s="6" t="s">
        <v>307</v>
      </c>
      <c r="J87" s="2"/>
      <c r="K87" s="6"/>
      <c r="L87" s="4"/>
      <c r="M87" s="4">
        <f>IF(C87&lt;&gt;"",IF(ISNUMBER(C87),C87*L87,L87),0)</f>
        <v>0</v>
      </c>
      <c r="N87" s="7" t="s">
        <v>29</v>
      </c>
      <c r="O87" s="3"/>
      <c r="P87" s="2"/>
      <c r="Q87" s="2"/>
      <c r="R87" s="2"/>
      <c r="S87" s="4" t="s">
        <v>30</v>
      </c>
    </row>
    <row r="88" spans="1:19" ht="18" customHeight="1" x14ac:dyDescent="0.2">
      <c r="A88" s="8" t="s">
        <v>304</v>
      </c>
      <c r="B88" s="9" t="s">
        <v>308</v>
      </c>
      <c r="C88" s="10">
        <v>8</v>
      </c>
      <c r="D88" s="8" t="s">
        <v>24</v>
      </c>
      <c r="E88" s="9"/>
      <c r="F88" s="11" t="s">
        <v>87</v>
      </c>
      <c r="G88" s="12" t="s">
        <v>309</v>
      </c>
      <c r="H88" s="11" t="s">
        <v>87</v>
      </c>
      <c r="I88" s="12" t="s">
        <v>310</v>
      </c>
      <c r="J88" s="8"/>
      <c r="K88" s="12"/>
      <c r="L88" s="10"/>
      <c r="M88" s="10">
        <f>IF(C88&lt;&gt;"",IF(ISNUMBER(C88),C88*L88,L88),0)</f>
        <v>0</v>
      </c>
      <c r="N88" s="7" t="s">
        <v>29</v>
      </c>
      <c r="O88" s="9"/>
      <c r="P88" s="8"/>
      <c r="Q88" s="8"/>
      <c r="R88" s="8"/>
      <c r="S88" s="10" t="s">
        <v>30</v>
      </c>
    </row>
    <row r="89" spans="1:19" ht="18" customHeight="1" x14ac:dyDescent="0.2">
      <c r="A89" s="2" t="s">
        <v>304</v>
      </c>
      <c r="B89" s="3" t="s">
        <v>311</v>
      </c>
      <c r="C89" s="4">
        <v>1</v>
      </c>
      <c r="D89" s="2" t="s">
        <v>24</v>
      </c>
      <c r="E89" s="3"/>
      <c r="F89" s="5" t="s">
        <v>312</v>
      </c>
      <c r="G89" s="6" t="s">
        <v>313</v>
      </c>
      <c r="H89" s="5" t="s">
        <v>314</v>
      </c>
      <c r="I89" s="6" t="s">
        <v>315</v>
      </c>
      <c r="J89" s="2"/>
      <c r="K89" s="6"/>
      <c r="L89" s="4"/>
      <c r="M89" s="4">
        <f>IF(C89&lt;&gt;"",IF(ISNUMBER(C89),C89*L89,L89),0)</f>
        <v>0</v>
      </c>
      <c r="N89" s="7" t="s">
        <v>29</v>
      </c>
      <c r="O89" s="3"/>
      <c r="P89" s="2"/>
      <c r="Q89" s="2"/>
      <c r="R89" s="2"/>
      <c r="S89" s="4" t="s">
        <v>30</v>
      </c>
    </row>
    <row r="90" spans="1:19" ht="18" customHeight="1" x14ac:dyDescent="0.2">
      <c r="A90" s="8" t="s">
        <v>304</v>
      </c>
      <c r="B90" s="9" t="s">
        <v>316</v>
      </c>
      <c r="C90" s="10"/>
      <c r="D90" s="8" t="s">
        <v>24</v>
      </c>
      <c r="E90" s="9"/>
      <c r="F90" s="11" t="s">
        <v>87</v>
      </c>
      <c r="G90" s="12" t="s">
        <v>317</v>
      </c>
      <c r="H90" s="8"/>
      <c r="I90" s="12"/>
      <c r="J90" s="8"/>
      <c r="K90" s="12"/>
      <c r="L90" s="10"/>
      <c r="M90" s="10">
        <f>IF(C90&lt;&gt;"",IF(ISNUMBER(C90),C90*L90,L90),0)</f>
        <v>0</v>
      </c>
      <c r="N90" s="7" t="s">
        <v>29</v>
      </c>
      <c r="O90" s="9"/>
      <c r="P90" s="8"/>
      <c r="Q90" s="8"/>
      <c r="R90" s="8"/>
      <c r="S90" s="10" t="s">
        <v>30</v>
      </c>
    </row>
    <row r="91" spans="1:19" ht="18" customHeight="1" x14ac:dyDescent="0.2">
      <c r="A91" s="2" t="s">
        <v>304</v>
      </c>
      <c r="B91" s="3" t="s">
        <v>318</v>
      </c>
      <c r="C91" s="4">
        <v>1</v>
      </c>
      <c r="D91" s="2" t="s">
        <v>24</v>
      </c>
      <c r="E91" s="3"/>
      <c r="F91" s="5" t="s">
        <v>319</v>
      </c>
      <c r="G91" s="6" t="s">
        <v>320</v>
      </c>
      <c r="H91" s="2"/>
      <c r="I91" s="6"/>
      <c r="J91" s="2"/>
      <c r="K91" s="6"/>
      <c r="L91" s="4"/>
      <c r="M91" s="4">
        <f>IF(C91&lt;&gt;"",IF(ISNUMBER(C91),C91*L91,L91),0)</f>
        <v>0</v>
      </c>
      <c r="N91" s="7" t="s">
        <v>29</v>
      </c>
      <c r="O91" s="3"/>
      <c r="P91" s="2"/>
      <c r="Q91" s="2"/>
      <c r="R91" s="2"/>
      <c r="S91" s="4" t="s">
        <v>30</v>
      </c>
    </row>
    <row r="92" spans="1:19" ht="20" customHeight="1" x14ac:dyDescent="0.2">
      <c r="A92" s="18" t="s">
        <v>321</v>
      </c>
      <c r="B92" s="19"/>
      <c r="C92" s="19"/>
      <c r="D92" s="19"/>
      <c r="E92" s="19"/>
      <c r="F92" s="19"/>
      <c r="G92" s="19"/>
      <c r="H92" s="19"/>
      <c r="I92" s="19"/>
      <c r="J92" s="19"/>
      <c r="K92" s="19"/>
      <c r="L92" s="19"/>
      <c r="M92" s="19"/>
      <c r="N92" s="19"/>
      <c r="O92" s="19"/>
      <c r="P92" s="19"/>
      <c r="Q92" s="19"/>
      <c r="R92" s="19"/>
      <c r="S92" s="19"/>
    </row>
    <row r="93" spans="1:19" ht="18" customHeight="1" x14ac:dyDescent="0.2">
      <c r="A93" s="2" t="s">
        <v>322</v>
      </c>
      <c r="B93" s="3" t="s">
        <v>323</v>
      </c>
      <c r="C93" s="4">
        <v>15</v>
      </c>
      <c r="D93" s="2" t="s">
        <v>24</v>
      </c>
      <c r="E93" s="3" t="s">
        <v>324</v>
      </c>
      <c r="F93" s="5" t="s">
        <v>197</v>
      </c>
      <c r="G93" s="6" t="s">
        <v>325</v>
      </c>
      <c r="H93" s="2"/>
      <c r="I93" s="6"/>
      <c r="J93" s="2"/>
      <c r="K93" s="6"/>
      <c r="L93" s="4"/>
      <c r="M93" s="4">
        <f t="shared" ref="M93:M117" si="4">IF(C93&lt;&gt;"",IF(ISNUMBER(C93),C93*L93,L93),0)</f>
        <v>0</v>
      </c>
      <c r="N93" s="7" t="s">
        <v>29</v>
      </c>
      <c r="O93" s="3"/>
      <c r="P93" s="2"/>
      <c r="Q93" s="2"/>
      <c r="R93" s="2"/>
      <c r="S93" s="4" t="s">
        <v>30</v>
      </c>
    </row>
    <row r="94" spans="1:19" ht="18" customHeight="1" x14ac:dyDescent="0.2">
      <c r="A94" s="8" t="s">
        <v>322</v>
      </c>
      <c r="B94" s="9" t="s">
        <v>326</v>
      </c>
      <c r="C94" s="10">
        <v>10</v>
      </c>
      <c r="D94" s="8" t="s">
        <v>24</v>
      </c>
      <c r="E94" s="9" t="s">
        <v>327</v>
      </c>
      <c r="F94" s="11" t="s">
        <v>197</v>
      </c>
      <c r="G94" s="12" t="s">
        <v>328</v>
      </c>
      <c r="H94" s="8"/>
      <c r="I94" s="12"/>
      <c r="J94" s="8"/>
      <c r="K94" s="12"/>
      <c r="L94" s="10"/>
      <c r="M94" s="10">
        <f t="shared" si="4"/>
        <v>0</v>
      </c>
      <c r="N94" s="7" t="s">
        <v>29</v>
      </c>
      <c r="O94" s="9"/>
      <c r="P94" s="8"/>
      <c r="Q94" s="8"/>
      <c r="R94" s="8"/>
      <c r="S94" s="10" t="s">
        <v>30</v>
      </c>
    </row>
    <row r="95" spans="1:19" ht="18" customHeight="1" x14ac:dyDescent="0.2">
      <c r="A95" s="2" t="s">
        <v>322</v>
      </c>
      <c r="B95" s="3" t="s">
        <v>329</v>
      </c>
      <c r="C95" s="4">
        <v>100</v>
      </c>
      <c r="D95" s="2" t="s">
        <v>24</v>
      </c>
      <c r="E95" s="3"/>
      <c r="F95" s="5" t="s">
        <v>189</v>
      </c>
      <c r="G95" s="6" t="s">
        <v>330</v>
      </c>
      <c r="H95" s="5" t="s">
        <v>89</v>
      </c>
      <c r="I95" s="6" t="s">
        <v>331</v>
      </c>
      <c r="J95" s="2"/>
      <c r="K95" s="6"/>
      <c r="L95" s="4"/>
      <c r="M95" s="4">
        <f t="shared" si="4"/>
        <v>0</v>
      </c>
      <c r="N95" s="7" t="s">
        <v>29</v>
      </c>
      <c r="O95" s="3"/>
      <c r="P95" s="2"/>
      <c r="Q95" s="2"/>
      <c r="R95" s="2"/>
      <c r="S95" s="4" t="s">
        <v>30</v>
      </c>
    </row>
    <row r="96" spans="1:19" ht="18" customHeight="1" x14ac:dyDescent="0.2">
      <c r="A96" s="8" t="s">
        <v>322</v>
      </c>
      <c r="B96" s="9" t="s">
        <v>332</v>
      </c>
      <c r="C96" s="10">
        <v>40</v>
      </c>
      <c r="D96" s="8" t="s">
        <v>24</v>
      </c>
      <c r="E96" s="9" t="s">
        <v>333</v>
      </c>
      <c r="F96" s="11" t="s">
        <v>197</v>
      </c>
      <c r="G96" s="12" t="s">
        <v>334</v>
      </c>
      <c r="H96" s="11" t="s">
        <v>208</v>
      </c>
      <c r="I96" s="12" t="s">
        <v>335</v>
      </c>
      <c r="J96" s="8"/>
      <c r="K96" s="12"/>
      <c r="L96" s="10"/>
      <c r="M96" s="10">
        <f t="shared" si="4"/>
        <v>0</v>
      </c>
      <c r="N96" s="7" t="s">
        <v>29</v>
      </c>
      <c r="O96" s="9"/>
      <c r="P96" s="8"/>
      <c r="Q96" s="8"/>
      <c r="R96" s="8"/>
      <c r="S96" s="10" t="s">
        <v>30</v>
      </c>
    </row>
    <row r="97" spans="1:19" ht="18" customHeight="1" x14ac:dyDescent="0.2">
      <c r="A97" s="2" t="s">
        <v>322</v>
      </c>
      <c r="B97" s="3" t="s">
        <v>336</v>
      </c>
      <c r="C97" s="4">
        <v>40</v>
      </c>
      <c r="D97" s="2" t="s">
        <v>24</v>
      </c>
      <c r="E97" s="3"/>
      <c r="F97" s="5" t="s">
        <v>197</v>
      </c>
      <c r="G97" s="6" t="s">
        <v>337</v>
      </c>
      <c r="H97" s="2"/>
      <c r="I97" s="6"/>
      <c r="J97" s="2"/>
      <c r="K97" s="6"/>
      <c r="L97" s="4"/>
      <c r="M97" s="4">
        <f t="shared" si="4"/>
        <v>0</v>
      </c>
      <c r="N97" s="7" t="s">
        <v>29</v>
      </c>
      <c r="O97" s="3"/>
      <c r="P97" s="2"/>
      <c r="Q97" s="2"/>
      <c r="R97" s="2"/>
      <c r="S97" s="4" t="s">
        <v>30</v>
      </c>
    </row>
    <row r="98" spans="1:19" ht="18" customHeight="1" x14ac:dyDescent="0.2">
      <c r="A98" s="8" t="s">
        <v>322</v>
      </c>
      <c r="B98" s="9" t="s">
        <v>338</v>
      </c>
      <c r="C98" s="10">
        <v>4</v>
      </c>
      <c r="D98" s="8" t="s">
        <v>24</v>
      </c>
      <c r="E98" s="9"/>
      <c r="F98" s="11" t="s">
        <v>197</v>
      </c>
      <c r="G98" s="12" t="s">
        <v>339</v>
      </c>
      <c r="H98" s="8"/>
      <c r="I98" s="12"/>
      <c r="J98" s="8"/>
      <c r="K98" s="12"/>
      <c r="L98" s="10"/>
      <c r="M98" s="10">
        <f t="shared" si="4"/>
        <v>0</v>
      </c>
      <c r="N98" s="7" t="s">
        <v>29</v>
      </c>
      <c r="O98" s="9"/>
      <c r="P98" s="8"/>
      <c r="Q98" s="8"/>
      <c r="R98" s="8"/>
      <c r="S98" s="10" t="s">
        <v>30</v>
      </c>
    </row>
    <row r="99" spans="1:19" ht="18" customHeight="1" x14ac:dyDescent="0.2">
      <c r="A99" s="2" t="s">
        <v>322</v>
      </c>
      <c r="B99" s="3" t="s">
        <v>340</v>
      </c>
      <c r="C99" s="4">
        <v>1</v>
      </c>
      <c r="D99" s="2" t="s">
        <v>24</v>
      </c>
      <c r="E99" s="3"/>
      <c r="F99" s="5" t="s">
        <v>197</v>
      </c>
      <c r="G99" s="6" t="s">
        <v>341</v>
      </c>
      <c r="H99" s="2"/>
      <c r="I99" s="6"/>
      <c r="J99" s="2"/>
      <c r="K99" s="6"/>
      <c r="L99" s="4"/>
      <c r="M99" s="4">
        <f t="shared" si="4"/>
        <v>0</v>
      </c>
      <c r="N99" s="7" t="s">
        <v>29</v>
      </c>
      <c r="O99" s="3"/>
      <c r="P99" s="2"/>
      <c r="Q99" s="2"/>
      <c r="R99" s="2"/>
      <c r="S99" s="4" t="s">
        <v>30</v>
      </c>
    </row>
    <row r="100" spans="1:19" ht="18" customHeight="1" x14ac:dyDescent="0.2">
      <c r="A100" s="8" t="s">
        <v>322</v>
      </c>
      <c r="B100" s="9" t="s">
        <v>342</v>
      </c>
      <c r="C100" s="10">
        <v>6</v>
      </c>
      <c r="D100" s="8" t="s">
        <v>24</v>
      </c>
      <c r="E100" s="9"/>
      <c r="F100" s="11" t="s">
        <v>197</v>
      </c>
      <c r="G100" s="12" t="s">
        <v>343</v>
      </c>
      <c r="H100" s="8"/>
      <c r="I100" s="12"/>
      <c r="J100" s="8"/>
      <c r="K100" s="12"/>
      <c r="L100" s="10"/>
      <c r="M100" s="10">
        <f t="shared" si="4"/>
        <v>0</v>
      </c>
      <c r="N100" s="7" t="s">
        <v>29</v>
      </c>
      <c r="O100" s="9"/>
      <c r="P100" s="8"/>
      <c r="Q100" s="8"/>
      <c r="R100" s="8"/>
      <c r="S100" s="10" t="s">
        <v>30</v>
      </c>
    </row>
    <row r="101" spans="1:19" ht="18" customHeight="1" x14ac:dyDescent="0.2">
      <c r="A101" s="2" t="s">
        <v>322</v>
      </c>
      <c r="B101" s="3" t="s">
        <v>344</v>
      </c>
      <c r="C101" s="4">
        <v>4</v>
      </c>
      <c r="D101" s="2" t="s">
        <v>24</v>
      </c>
      <c r="E101" s="3"/>
      <c r="F101" s="5" t="s">
        <v>197</v>
      </c>
      <c r="G101" s="6" t="s">
        <v>345</v>
      </c>
      <c r="H101" s="2"/>
      <c r="I101" s="6"/>
      <c r="J101" s="2"/>
      <c r="K101" s="6"/>
      <c r="L101" s="4"/>
      <c r="M101" s="4">
        <f t="shared" si="4"/>
        <v>0</v>
      </c>
      <c r="N101" s="7" t="s">
        <v>29</v>
      </c>
      <c r="O101" s="3"/>
      <c r="P101" s="2"/>
      <c r="Q101" s="2"/>
      <c r="R101" s="2"/>
      <c r="S101" s="4" t="s">
        <v>30</v>
      </c>
    </row>
    <row r="102" spans="1:19" ht="18" customHeight="1" x14ac:dyDescent="0.2">
      <c r="A102" s="8" t="s">
        <v>322</v>
      </c>
      <c r="B102" s="9" t="s">
        <v>346</v>
      </c>
      <c r="C102" s="10">
        <v>1</v>
      </c>
      <c r="D102" s="8" t="s">
        <v>24</v>
      </c>
      <c r="E102" s="9"/>
      <c r="F102" s="11" t="s">
        <v>197</v>
      </c>
      <c r="G102" s="12" t="s">
        <v>347</v>
      </c>
      <c r="H102" s="8"/>
      <c r="I102" s="12"/>
      <c r="J102" s="8"/>
      <c r="K102" s="12"/>
      <c r="L102" s="10"/>
      <c r="M102" s="10">
        <f t="shared" si="4"/>
        <v>0</v>
      </c>
      <c r="N102" s="7" t="s">
        <v>29</v>
      </c>
      <c r="O102" s="9"/>
      <c r="P102" s="8"/>
      <c r="Q102" s="8"/>
      <c r="R102" s="8"/>
      <c r="S102" s="10" t="s">
        <v>30</v>
      </c>
    </row>
    <row r="103" spans="1:19" ht="18" customHeight="1" x14ac:dyDescent="0.2">
      <c r="A103" s="2" t="s">
        <v>322</v>
      </c>
      <c r="B103" s="3" t="s">
        <v>348</v>
      </c>
      <c r="C103" s="4">
        <v>6</v>
      </c>
      <c r="D103" s="2" t="s">
        <v>24</v>
      </c>
      <c r="E103" s="3"/>
      <c r="F103" s="5" t="s">
        <v>197</v>
      </c>
      <c r="G103" s="6" t="s">
        <v>349</v>
      </c>
      <c r="H103" s="2"/>
      <c r="I103" s="6"/>
      <c r="J103" s="2"/>
      <c r="K103" s="6"/>
      <c r="L103" s="4"/>
      <c r="M103" s="4">
        <f t="shared" si="4"/>
        <v>0</v>
      </c>
      <c r="N103" s="7" t="s">
        <v>29</v>
      </c>
      <c r="O103" s="3"/>
      <c r="P103" s="2"/>
      <c r="Q103" s="2"/>
      <c r="R103" s="2"/>
      <c r="S103" s="4" t="s">
        <v>30</v>
      </c>
    </row>
    <row r="104" spans="1:19" ht="18" customHeight="1" x14ac:dyDescent="0.2">
      <c r="A104" s="8" t="s">
        <v>322</v>
      </c>
      <c r="B104" s="9" t="s">
        <v>350</v>
      </c>
      <c r="C104" s="10">
        <v>1</v>
      </c>
      <c r="D104" s="8" t="s">
        <v>24</v>
      </c>
      <c r="E104" s="9" t="s">
        <v>351</v>
      </c>
      <c r="F104" s="11" t="s">
        <v>197</v>
      </c>
      <c r="G104" s="12" t="s">
        <v>352</v>
      </c>
      <c r="H104" s="8"/>
      <c r="I104" s="12"/>
      <c r="J104" s="8"/>
      <c r="K104" s="12"/>
      <c r="L104" s="10"/>
      <c r="M104" s="10">
        <f t="shared" si="4"/>
        <v>0</v>
      </c>
      <c r="N104" s="7" t="s">
        <v>29</v>
      </c>
      <c r="O104" s="9"/>
      <c r="P104" s="8"/>
      <c r="Q104" s="8"/>
      <c r="R104" s="8"/>
      <c r="S104" s="10" t="s">
        <v>30</v>
      </c>
    </row>
    <row r="105" spans="1:19" ht="18" customHeight="1" x14ac:dyDescent="0.2">
      <c r="A105" s="2" t="s">
        <v>322</v>
      </c>
      <c r="B105" s="3" t="s">
        <v>353</v>
      </c>
      <c r="C105" s="4">
        <v>1</v>
      </c>
      <c r="D105" s="2" t="s">
        <v>24</v>
      </c>
      <c r="E105" s="3"/>
      <c r="F105" s="5" t="s">
        <v>197</v>
      </c>
      <c r="G105" s="6" t="s">
        <v>354</v>
      </c>
      <c r="H105" s="2"/>
      <c r="I105" s="6"/>
      <c r="J105" s="2"/>
      <c r="K105" s="6"/>
      <c r="L105" s="4"/>
      <c r="M105" s="4">
        <f t="shared" si="4"/>
        <v>0</v>
      </c>
      <c r="N105" s="7" t="s">
        <v>29</v>
      </c>
      <c r="O105" s="3"/>
      <c r="P105" s="2"/>
      <c r="Q105" s="2"/>
      <c r="R105" s="2"/>
      <c r="S105" s="4" t="s">
        <v>30</v>
      </c>
    </row>
    <row r="106" spans="1:19" ht="18" customHeight="1" x14ac:dyDescent="0.2">
      <c r="A106" s="8" t="s">
        <v>322</v>
      </c>
      <c r="B106" s="9" t="s">
        <v>355</v>
      </c>
      <c r="C106" s="10">
        <v>6</v>
      </c>
      <c r="D106" s="8" t="s">
        <v>24</v>
      </c>
      <c r="E106" s="9"/>
      <c r="F106" s="11" t="s">
        <v>197</v>
      </c>
      <c r="G106" s="12" t="s">
        <v>356</v>
      </c>
      <c r="H106" s="8"/>
      <c r="I106" s="12"/>
      <c r="J106" s="8"/>
      <c r="K106" s="12"/>
      <c r="L106" s="10"/>
      <c r="M106" s="10">
        <f t="shared" si="4"/>
        <v>0</v>
      </c>
      <c r="N106" s="7" t="s">
        <v>29</v>
      </c>
      <c r="O106" s="9"/>
      <c r="P106" s="8"/>
      <c r="Q106" s="8"/>
      <c r="R106" s="8"/>
      <c r="S106" s="10" t="s">
        <v>30</v>
      </c>
    </row>
    <row r="107" spans="1:19" ht="18" customHeight="1" x14ac:dyDescent="0.2">
      <c r="A107" s="2" t="s">
        <v>322</v>
      </c>
      <c r="B107" s="3" t="s">
        <v>357</v>
      </c>
      <c r="C107" s="4">
        <v>6</v>
      </c>
      <c r="D107" s="2" t="s">
        <v>24</v>
      </c>
      <c r="E107" s="3"/>
      <c r="F107" s="5" t="s">
        <v>197</v>
      </c>
      <c r="G107" s="6" t="s">
        <v>358</v>
      </c>
      <c r="H107" s="2"/>
      <c r="I107" s="6"/>
      <c r="J107" s="2"/>
      <c r="K107" s="6"/>
      <c r="L107" s="4"/>
      <c r="M107" s="4">
        <f t="shared" si="4"/>
        <v>0</v>
      </c>
      <c r="N107" s="7" t="s">
        <v>29</v>
      </c>
      <c r="O107" s="3"/>
      <c r="P107" s="2"/>
      <c r="Q107" s="2"/>
      <c r="R107" s="2"/>
      <c r="S107" s="4" t="s">
        <v>30</v>
      </c>
    </row>
    <row r="108" spans="1:19" ht="18" customHeight="1" x14ac:dyDescent="0.2">
      <c r="A108" s="8" t="s">
        <v>322</v>
      </c>
      <c r="B108" s="9" t="s">
        <v>359</v>
      </c>
      <c r="C108" s="10">
        <v>40</v>
      </c>
      <c r="D108" s="8" t="s">
        <v>24</v>
      </c>
      <c r="E108" s="9" t="s">
        <v>360</v>
      </c>
      <c r="F108" s="11" t="s">
        <v>87</v>
      </c>
      <c r="G108" s="12" t="s">
        <v>361</v>
      </c>
      <c r="H108" s="11" t="s">
        <v>89</v>
      </c>
      <c r="I108" s="12" t="s">
        <v>362</v>
      </c>
      <c r="J108" s="11" t="s">
        <v>189</v>
      </c>
      <c r="K108" s="12" t="s">
        <v>363</v>
      </c>
      <c r="L108" s="10"/>
      <c r="M108" s="10">
        <f t="shared" si="4"/>
        <v>0</v>
      </c>
      <c r="N108" s="7" t="s">
        <v>29</v>
      </c>
      <c r="O108" s="9"/>
      <c r="P108" s="8"/>
      <c r="Q108" s="8"/>
      <c r="R108" s="8"/>
      <c r="S108" s="10" t="s">
        <v>30</v>
      </c>
    </row>
    <row r="109" spans="1:19" ht="18" customHeight="1" x14ac:dyDescent="0.2">
      <c r="A109" s="2" t="s">
        <v>322</v>
      </c>
      <c r="B109" s="3" t="s">
        <v>364</v>
      </c>
      <c r="C109" s="4">
        <v>4</v>
      </c>
      <c r="D109" s="2" t="s">
        <v>24</v>
      </c>
      <c r="E109" s="3"/>
      <c r="F109" s="2"/>
      <c r="G109" s="6"/>
      <c r="H109" s="2"/>
      <c r="I109" s="6"/>
      <c r="J109" s="2"/>
      <c r="K109" s="6"/>
      <c r="L109" s="4"/>
      <c r="M109" s="4">
        <f t="shared" si="4"/>
        <v>0</v>
      </c>
      <c r="N109" s="7" t="s">
        <v>29</v>
      </c>
      <c r="O109" s="3"/>
      <c r="P109" s="2"/>
      <c r="Q109" s="2"/>
      <c r="R109" s="2"/>
      <c r="S109" s="4" t="s">
        <v>30</v>
      </c>
    </row>
    <row r="110" spans="1:19" ht="18" customHeight="1" x14ac:dyDescent="0.2">
      <c r="A110" s="8" t="s">
        <v>322</v>
      </c>
      <c r="B110" s="9" t="s">
        <v>365</v>
      </c>
      <c r="C110" s="10">
        <v>4</v>
      </c>
      <c r="D110" s="8" t="s">
        <v>24</v>
      </c>
      <c r="E110" s="9"/>
      <c r="F110" s="8"/>
      <c r="G110" s="12"/>
      <c r="H110" s="8"/>
      <c r="I110" s="12"/>
      <c r="J110" s="8"/>
      <c r="K110" s="12"/>
      <c r="L110" s="10"/>
      <c r="M110" s="10">
        <f t="shared" si="4"/>
        <v>0</v>
      </c>
      <c r="N110" s="7" t="s">
        <v>29</v>
      </c>
      <c r="O110" s="9"/>
      <c r="P110" s="8"/>
      <c r="Q110" s="8"/>
      <c r="R110" s="8"/>
      <c r="S110" s="10" t="s">
        <v>30</v>
      </c>
    </row>
    <row r="111" spans="1:19" ht="18" customHeight="1" x14ac:dyDescent="0.2">
      <c r="A111" s="2" t="s">
        <v>322</v>
      </c>
      <c r="B111" s="3" t="s">
        <v>366</v>
      </c>
      <c r="C111" s="4">
        <v>4</v>
      </c>
      <c r="D111" s="2" t="s">
        <v>24</v>
      </c>
      <c r="E111" s="3"/>
      <c r="F111" s="2"/>
      <c r="G111" s="6"/>
      <c r="H111" s="2"/>
      <c r="I111" s="6"/>
      <c r="J111" s="2"/>
      <c r="K111" s="6"/>
      <c r="L111" s="4"/>
      <c r="M111" s="4">
        <f t="shared" si="4"/>
        <v>0</v>
      </c>
      <c r="N111" s="7" t="s">
        <v>29</v>
      </c>
      <c r="O111" s="3"/>
      <c r="P111" s="2"/>
      <c r="Q111" s="2"/>
      <c r="R111" s="2"/>
      <c r="S111" s="4" t="s">
        <v>30</v>
      </c>
    </row>
    <row r="112" spans="1:19" ht="18" customHeight="1" x14ac:dyDescent="0.2">
      <c r="A112" s="8" t="s">
        <v>322</v>
      </c>
      <c r="B112" s="9" t="s">
        <v>367</v>
      </c>
      <c r="C112" s="10">
        <v>1</v>
      </c>
      <c r="D112" s="8" t="s">
        <v>24</v>
      </c>
      <c r="E112" s="9"/>
      <c r="F112" s="11" t="s">
        <v>191</v>
      </c>
      <c r="G112" s="12" t="s">
        <v>368</v>
      </c>
      <c r="H112" s="11" t="s">
        <v>89</v>
      </c>
      <c r="I112" s="12" t="s">
        <v>369</v>
      </c>
      <c r="J112" s="8"/>
      <c r="K112" s="12"/>
      <c r="L112" s="10"/>
      <c r="M112" s="10">
        <f t="shared" si="4"/>
        <v>0</v>
      </c>
      <c r="N112" s="7" t="s">
        <v>29</v>
      </c>
      <c r="O112" s="9"/>
      <c r="P112" s="8"/>
      <c r="Q112" s="8"/>
      <c r="R112" s="8"/>
      <c r="S112" s="10" t="s">
        <v>30</v>
      </c>
    </row>
    <row r="113" spans="1:19" ht="18" customHeight="1" x14ac:dyDescent="0.2">
      <c r="A113" s="2" t="s">
        <v>322</v>
      </c>
      <c r="B113" s="3" t="s">
        <v>370</v>
      </c>
      <c r="C113" s="4">
        <v>1</v>
      </c>
      <c r="D113" s="2" t="s">
        <v>24</v>
      </c>
      <c r="E113" s="3" t="s">
        <v>371</v>
      </c>
      <c r="F113" s="5" t="s">
        <v>372</v>
      </c>
      <c r="G113" s="6" t="s">
        <v>373</v>
      </c>
      <c r="H113" s="5" t="s">
        <v>372</v>
      </c>
      <c r="I113" s="6" t="s">
        <v>373</v>
      </c>
      <c r="J113" s="5" t="s">
        <v>372</v>
      </c>
      <c r="K113" s="6" t="s">
        <v>374</v>
      </c>
      <c r="L113" s="4"/>
      <c r="M113" s="4">
        <f t="shared" si="4"/>
        <v>0</v>
      </c>
      <c r="N113" s="7" t="s">
        <v>29</v>
      </c>
      <c r="O113" s="3"/>
      <c r="P113" s="2"/>
      <c r="Q113" s="2"/>
      <c r="R113" s="2"/>
      <c r="S113" s="4" t="s">
        <v>30</v>
      </c>
    </row>
    <row r="114" spans="1:19" ht="18" customHeight="1" x14ac:dyDescent="0.2">
      <c r="A114" s="8" t="s">
        <v>322</v>
      </c>
      <c r="B114" s="9" t="s">
        <v>375</v>
      </c>
      <c r="C114" s="10">
        <v>1</v>
      </c>
      <c r="D114" s="8" t="s">
        <v>24</v>
      </c>
      <c r="E114" s="9"/>
      <c r="F114" s="8"/>
      <c r="G114" s="12"/>
      <c r="H114" s="8"/>
      <c r="I114" s="12"/>
      <c r="J114" s="8"/>
      <c r="K114" s="12"/>
      <c r="L114" s="10"/>
      <c r="M114" s="10">
        <f t="shared" si="4"/>
        <v>0</v>
      </c>
      <c r="N114" s="7" t="s">
        <v>29</v>
      </c>
      <c r="O114" s="9"/>
      <c r="P114" s="8"/>
      <c r="Q114" s="8"/>
      <c r="R114" s="8"/>
      <c r="S114" s="10" t="s">
        <v>30</v>
      </c>
    </row>
    <row r="115" spans="1:19" ht="18" customHeight="1" x14ac:dyDescent="0.2">
      <c r="A115" s="2" t="s">
        <v>322</v>
      </c>
      <c r="B115" s="3" t="s">
        <v>376</v>
      </c>
      <c r="C115" s="4">
        <v>1</v>
      </c>
      <c r="D115" s="2" t="s">
        <v>24</v>
      </c>
      <c r="E115" s="3"/>
      <c r="F115" s="2"/>
      <c r="G115" s="6"/>
      <c r="H115" s="2"/>
      <c r="I115" s="6"/>
      <c r="J115" s="2"/>
      <c r="K115" s="6"/>
      <c r="L115" s="4"/>
      <c r="M115" s="4">
        <f t="shared" si="4"/>
        <v>0</v>
      </c>
      <c r="N115" s="7" t="s">
        <v>29</v>
      </c>
      <c r="O115" s="3"/>
      <c r="P115" s="2"/>
      <c r="Q115" s="2"/>
      <c r="R115" s="2"/>
      <c r="S115" s="4" t="s">
        <v>30</v>
      </c>
    </row>
    <row r="116" spans="1:19" ht="18" customHeight="1" x14ac:dyDescent="0.2">
      <c r="A116" s="8" t="s">
        <v>322</v>
      </c>
      <c r="B116" s="9" t="s">
        <v>377</v>
      </c>
      <c r="C116" s="10">
        <v>2</v>
      </c>
      <c r="D116" s="8" t="s">
        <v>24</v>
      </c>
      <c r="E116" s="9"/>
      <c r="F116" s="8"/>
      <c r="G116" s="12"/>
      <c r="H116" s="8"/>
      <c r="I116" s="12"/>
      <c r="J116" s="8"/>
      <c r="K116" s="12"/>
      <c r="L116" s="10"/>
      <c r="M116" s="10">
        <f t="shared" si="4"/>
        <v>0</v>
      </c>
      <c r="N116" s="7" t="s">
        <v>29</v>
      </c>
      <c r="O116" s="9"/>
      <c r="P116" s="8"/>
      <c r="Q116" s="8"/>
      <c r="R116" s="8"/>
      <c r="S116" s="10" t="s">
        <v>30</v>
      </c>
    </row>
    <row r="117" spans="1:19" ht="18" customHeight="1" x14ac:dyDescent="0.2">
      <c r="A117" s="2" t="s">
        <v>322</v>
      </c>
      <c r="B117" s="3" t="s">
        <v>378</v>
      </c>
      <c r="C117" s="4">
        <v>2</v>
      </c>
      <c r="D117" s="2" t="s">
        <v>24</v>
      </c>
      <c r="E117" s="3"/>
      <c r="F117" s="2"/>
      <c r="G117" s="6"/>
      <c r="H117" s="2"/>
      <c r="I117" s="6"/>
      <c r="J117" s="2"/>
      <c r="K117" s="6"/>
      <c r="L117" s="4"/>
      <c r="M117" s="4">
        <f t="shared" si="4"/>
        <v>0</v>
      </c>
      <c r="N117" s="7" t="s">
        <v>29</v>
      </c>
      <c r="O117" s="3"/>
      <c r="P117" s="2"/>
      <c r="Q117" s="2"/>
      <c r="R117" s="2"/>
      <c r="S117" s="4" t="s">
        <v>30</v>
      </c>
    </row>
    <row r="118" spans="1:19" ht="20" customHeight="1" x14ac:dyDescent="0.2">
      <c r="A118" s="18" t="s">
        <v>379</v>
      </c>
      <c r="B118" s="19"/>
      <c r="C118" s="19"/>
      <c r="D118" s="19"/>
      <c r="E118" s="19"/>
      <c r="F118" s="19"/>
      <c r="G118" s="19"/>
      <c r="H118" s="19"/>
      <c r="I118" s="19"/>
      <c r="J118" s="19"/>
      <c r="K118" s="19"/>
      <c r="L118" s="19"/>
      <c r="M118" s="19"/>
      <c r="N118" s="19"/>
      <c r="O118" s="19"/>
      <c r="P118" s="19"/>
      <c r="Q118" s="19"/>
      <c r="R118" s="19"/>
      <c r="S118" s="19"/>
    </row>
    <row r="119" spans="1:19" ht="18" customHeight="1" x14ac:dyDescent="0.2">
      <c r="A119" s="2" t="s">
        <v>380</v>
      </c>
      <c r="B119" s="3" t="s">
        <v>381</v>
      </c>
      <c r="C119" s="4">
        <v>3</v>
      </c>
      <c r="D119" s="2" t="s">
        <v>24</v>
      </c>
      <c r="E119" s="3"/>
      <c r="F119" s="5" t="s">
        <v>382</v>
      </c>
      <c r="G119" s="6" t="s">
        <v>383</v>
      </c>
      <c r="H119" s="5" t="s">
        <v>384</v>
      </c>
      <c r="I119" s="6" t="s">
        <v>385</v>
      </c>
      <c r="J119" s="2"/>
      <c r="K119" s="6"/>
      <c r="L119" s="4"/>
      <c r="M119" s="4">
        <f>IF(C119&lt;&gt;"",IF(ISNUMBER(C119),C119*L119,L119),0)</f>
        <v>0</v>
      </c>
      <c r="N119" s="7" t="s">
        <v>29</v>
      </c>
      <c r="O119" s="3"/>
      <c r="P119" s="2"/>
      <c r="Q119" s="2"/>
      <c r="R119" s="2"/>
      <c r="S119" s="4" t="s">
        <v>30</v>
      </c>
    </row>
    <row r="120" spans="1:19" ht="18" customHeight="1" x14ac:dyDescent="0.2">
      <c r="A120" s="8" t="s">
        <v>380</v>
      </c>
      <c r="B120" s="9" t="s">
        <v>386</v>
      </c>
      <c r="C120" s="10">
        <v>4</v>
      </c>
      <c r="D120" s="8" t="s">
        <v>24</v>
      </c>
      <c r="E120" s="9"/>
      <c r="F120" s="11" t="s">
        <v>387</v>
      </c>
      <c r="G120" s="12" t="s">
        <v>388</v>
      </c>
      <c r="H120" s="8"/>
      <c r="I120" s="12"/>
      <c r="J120" s="8"/>
      <c r="K120" s="12"/>
      <c r="L120" s="10"/>
      <c r="M120" s="10">
        <f>IF(C120&lt;&gt;"",IF(ISNUMBER(C120),C120*L120,L120),0)</f>
        <v>0</v>
      </c>
      <c r="N120" s="7" t="s">
        <v>29</v>
      </c>
      <c r="O120" s="9"/>
      <c r="P120" s="8"/>
      <c r="Q120" s="8"/>
      <c r="R120" s="8"/>
      <c r="S120" s="10" t="s">
        <v>30</v>
      </c>
    </row>
    <row r="121" spans="1:19" ht="20" customHeight="1" x14ac:dyDescent="0.2">
      <c r="A121" s="18" t="s">
        <v>389</v>
      </c>
      <c r="B121" s="19"/>
      <c r="C121" s="19"/>
      <c r="D121" s="19"/>
      <c r="E121" s="19"/>
      <c r="F121" s="19"/>
      <c r="G121" s="19"/>
      <c r="H121" s="19"/>
      <c r="I121" s="19"/>
      <c r="J121" s="19"/>
      <c r="K121" s="19"/>
      <c r="L121" s="19"/>
      <c r="M121" s="19"/>
      <c r="N121" s="19"/>
      <c r="O121" s="19"/>
      <c r="P121" s="19"/>
      <c r="Q121" s="19"/>
      <c r="R121" s="19"/>
      <c r="S121" s="19"/>
    </row>
    <row r="122" spans="1:19" ht="18" customHeight="1" x14ac:dyDescent="0.2">
      <c r="A122" s="8" t="s">
        <v>390</v>
      </c>
      <c r="B122" s="9" t="s">
        <v>391</v>
      </c>
      <c r="C122" s="10">
        <v>1</v>
      </c>
      <c r="D122" s="8" t="s">
        <v>165</v>
      </c>
      <c r="E122" s="9" t="s">
        <v>392</v>
      </c>
      <c r="F122" s="11" t="s">
        <v>393</v>
      </c>
      <c r="G122" s="12" t="s">
        <v>394</v>
      </c>
      <c r="H122" s="8"/>
      <c r="I122" s="12"/>
      <c r="J122" s="8"/>
      <c r="K122" s="12"/>
      <c r="L122" s="10"/>
      <c r="M122" s="10">
        <f t="shared" ref="M122:M131" si="5">IF(C122&lt;&gt;"",IF(ISNUMBER(C122),C122*L122,L122),0)</f>
        <v>0</v>
      </c>
      <c r="N122" s="7" t="s">
        <v>29</v>
      </c>
      <c r="O122" s="9"/>
      <c r="P122" s="8"/>
      <c r="Q122" s="8"/>
      <c r="R122" s="8"/>
      <c r="S122" s="10" t="s">
        <v>30</v>
      </c>
    </row>
    <row r="123" spans="1:19" ht="18" customHeight="1" x14ac:dyDescent="0.2">
      <c r="A123" s="2" t="s">
        <v>390</v>
      </c>
      <c r="B123" s="3" t="s">
        <v>395</v>
      </c>
      <c r="C123" s="4">
        <v>1</v>
      </c>
      <c r="D123" s="2" t="s">
        <v>174</v>
      </c>
      <c r="E123" s="3"/>
      <c r="F123" s="2"/>
      <c r="G123" s="6"/>
      <c r="H123" s="2"/>
      <c r="I123" s="6"/>
      <c r="J123" s="2"/>
      <c r="K123" s="6"/>
      <c r="L123" s="4"/>
      <c r="M123" s="4">
        <f t="shared" si="5"/>
        <v>0</v>
      </c>
      <c r="N123" s="7" t="s">
        <v>29</v>
      </c>
      <c r="O123" s="3"/>
      <c r="P123" s="2"/>
      <c r="Q123" s="2"/>
      <c r="R123" s="2"/>
      <c r="S123" s="4" t="s">
        <v>30</v>
      </c>
    </row>
    <row r="124" spans="1:19" ht="18" customHeight="1" x14ac:dyDescent="0.2">
      <c r="A124" s="8" t="s">
        <v>390</v>
      </c>
      <c r="B124" s="9" t="s">
        <v>395</v>
      </c>
      <c r="C124" s="10">
        <v>1</v>
      </c>
      <c r="D124" s="8" t="s">
        <v>176</v>
      </c>
      <c r="E124" s="9"/>
      <c r="F124" s="8"/>
      <c r="G124" s="12"/>
      <c r="H124" s="8"/>
      <c r="I124" s="12"/>
      <c r="J124" s="8"/>
      <c r="K124" s="12"/>
      <c r="L124" s="10"/>
      <c r="M124" s="10">
        <f t="shared" si="5"/>
        <v>0</v>
      </c>
      <c r="N124" s="7" t="s">
        <v>29</v>
      </c>
      <c r="O124" s="9"/>
      <c r="P124" s="8"/>
      <c r="Q124" s="8"/>
      <c r="R124" s="8"/>
      <c r="S124" s="10" t="s">
        <v>30</v>
      </c>
    </row>
    <row r="125" spans="1:19" ht="18" customHeight="1" x14ac:dyDescent="0.2">
      <c r="A125" s="2" t="s">
        <v>390</v>
      </c>
      <c r="B125" s="3" t="s">
        <v>396</v>
      </c>
      <c r="C125" s="4">
        <v>1</v>
      </c>
      <c r="D125" s="2" t="s">
        <v>165</v>
      </c>
      <c r="E125" s="3" t="s">
        <v>397</v>
      </c>
      <c r="F125" s="5" t="s">
        <v>398</v>
      </c>
      <c r="G125" s="6" t="s">
        <v>399</v>
      </c>
      <c r="H125" s="5" t="s">
        <v>400</v>
      </c>
      <c r="I125" s="6" t="s">
        <v>401</v>
      </c>
      <c r="J125" s="2"/>
      <c r="K125" s="6"/>
      <c r="L125" s="4"/>
      <c r="M125" s="4">
        <f t="shared" si="5"/>
        <v>0</v>
      </c>
      <c r="N125" s="7" t="s">
        <v>29</v>
      </c>
      <c r="O125" s="3"/>
      <c r="P125" s="2"/>
      <c r="Q125" s="2"/>
      <c r="R125" s="2"/>
      <c r="S125" s="4" t="s">
        <v>30</v>
      </c>
    </row>
    <row r="126" spans="1:19" ht="18" customHeight="1" x14ac:dyDescent="0.2">
      <c r="A126" s="8" t="s">
        <v>390</v>
      </c>
      <c r="B126" s="9" t="s">
        <v>402</v>
      </c>
      <c r="C126" s="10">
        <v>1</v>
      </c>
      <c r="D126" s="8" t="s">
        <v>174</v>
      </c>
      <c r="E126" s="9"/>
      <c r="F126" s="11" t="s">
        <v>398</v>
      </c>
      <c r="G126" s="12" t="s">
        <v>403</v>
      </c>
      <c r="H126" s="11" t="s">
        <v>400</v>
      </c>
      <c r="I126" s="12" t="s">
        <v>404</v>
      </c>
      <c r="J126" s="8"/>
      <c r="K126" s="12"/>
      <c r="L126" s="10"/>
      <c r="M126" s="10">
        <f t="shared" si="5"/>
        <v>0</v>
      </c>
      <c r="N126" s="7" t="s">
        <v>29</v>
      </c>
      <c r="O126" s="9"/>
      <c r="P126" s="8"/>
      <c r="Q126" s="8"/>
      <c r="R126" s="8"/>
      <c r="S126" s="10" t="s">
        <v>30</v>
      </c>
    </row>
    <row r="127" spans="1:19" ht="18" customHeight="1" x14ac:dyDescent="0.2">
      <c r="A127" s="2" t="s">
        <v>390</v>
      </c>
      <c r="B127" s="3" t="s">
        <v>405</v>
      </c>
      <c r="C127" s="4">
        <v>1</v>
      </c>
      <c r="D127" s="2" t="s">
        <v>176</v>
      </c>
      <c r="E127" s="3"/>
      <c r="F127" s="5" t="s">
        <v>398</v>
      </c>
      <c r="G127" s="6" t="s">
        <v>406</v>
      </c>
      <c r="H127" s="5" t="s">
        <v>400</v>
      </c>
      <c r="I127" s="6" t="s">
        <v>407</v>
      </c>
      <c r="J127" s="2"/>
      <c r="K127" s="6"/>
      <c r="L127" s="4"/>
      <c r="M127" s="4">
        <f t="shared" si="5"/>
        <v>0</v>
      </c>
      <c r="N127" s="7" t="s">
        <v>29</v>
      </c>
      <c r="O127" s="3"/>
      <c r="P127" s="2"/>
      <c r="Q127" s="2"/>
      <c r="R127" s="2"/>
      <c r="S127" s="4" t="s">
        <v>30</v>
      </c>
    </row>
    <row r="128" spans="1:19" ht="18" customHeight="1" x14ac:dyDescent="0.2">
      <c r="A128" s="8" t="s">
        <v>390</v>
      </c>
      <c r="B128" s="9" t="s">
        <v>408</v>
      </c>
      <c r="C128" s="10">
        <v>1</v>
      </c>
      <c r="D128" s="8" t="s">
        <v>165</v>
      </c>
      <c r="E128" s="9"/>
      <c r="F128" s="11" t="s">
        <v>409</v>
      </c>
      <c r="G128" s="12" t="s">
        <v>410</v>
      </c>
      <c r="H128" s="11" t="s">
        <v>411</v>
      </c>
      <c r="I128" s="12" t="s">
        <v>412</v>
      </c>
      <c r="J128" s="8"/>
      <c r="K128" s="12"/>
      <c r="L128" s="10"/>
      <c r="M128" s="10">
        <f t="shared" si="5"/>
        <v>0</v>
      </c>
      <c r="N128" s="7" t="s">
        <v>29</v>
      </c>
      <c r="O128" s="9"/>
      <c r="P128" s="8"/>
      <c r="Q128" s="8"/>
      <c r="R128" s="8"/>
      <c r="S128" s="10" t="s">
        <v>30</v>
      </c>
    </row>
    <row r="129" spans="1:19" ht="18" customHeight="1" x14ac:dyDescent="0.2">
      <c r="A129" s="2" t="s">
        <v>390</v>
      </c>
      <c r="B129" s="3" t="s">
        <v>408</v>
      </c>
      <c r="C129" s="4">
        <v>1</v>
      </c>
      <c r="D129" s="2" t="s">
        <v>174</v>
      </c>
      <c r="E129" s="3"/>
      <c r="F129" s="5" t="s">
        <v>413</v>
      </c>
      <c r="G129" s="6" t="s">
        <v>414</v>
      </c>
      <c r="H129" s="5" t="s">
        <v>415</v>
      </c>
      <c r="I129" s="6" t="s">
        <v>412</v>
      </c>
      <c r="J129" s="2"/>
      <c r="K129" s="6"/>
      <c r="L129" s="4"/>
      <c r="M129" s="4">
        <f t="shared" si="5"/>
        <v>0</v>
      </c>
      <c r="N129" s="7" t="s">
        <v>29</v>
      </c>
      <c r="O129" s="3"/>
      <c r="P129" s="2"/>
      <c r="Q129" s="2"/>
      <c r="R129" s="2"/>
      <c r="S129" s="4" t="s">
        <v>30</v>
      </c>
    </row>
    <row r="130" spans="1:19" ht="18" customHeight="1" x14ac:dyDescent="0.2">
      <c r="A130" s="8" t="s">
        <v>390</v>
      </c>
      <c r="B130" s="9" t="s">
        <v>408</v>
      </c>
      <c r="C130" s="10">
        <v>1</v>
      </c>
      <c r="D130" s="8" t="s">
        <v>176</v>
      </c>
      <c r="E130" s="9"/>
      <c r="F130" s="11" t="s">
        <v>413</v>
      </c>
      <c r="G130" s="12" t="s">
        <v>416</v>
      </c>
      <c r="H130" s="11" t="s">
        <v>415</v>
      </c>
      <c r="I130" s="12" t="s">
        <v>417</v>
      </c>
      <c r="J130" s="8"/>
      <c r="K130" s="12"/>
      <c r="L130" s="10"/>
      <c r="M130" s="10">
        <f t="shared" si="5"/>
        <v>0</v>
      </c>
      <c r="N130" s="7" t="s">
        <v>29</v>
      </c>
      <c r="O130" s="9"/>
      <c r="P130" s="8"/>
      <c r="Q130" s="8"/>
      <c r="R130" s="8"/>
      <c r="S130" s="10" t="s">
        <v>30</v>
      </c>
    </row>
    <row r="131" spans="1:19" ht="18" customHeight="1" x14ac:dyDescent="0.2">
      <c r="A131" s="2" t="s">
        <v>390</v>
      </c>
      <c r="B131" s="3" t="s">
        <v>418</v>
      </c>
      <c r="C131" s="4">
        <v>1</v>
      </c>
      <c r="D131" s="2" t="s">
        <v>24</v>
      </c>
      <c r="E131" s="3"/>
      <c r="F131" s="5" t="s">
        <v>87</v>
      </c>
      <c r="G131" s="6" t="s">
        <v>419</v>
      </c>
      <c r="H131" s="2"/>
      <c r="I131" s="6"/>
      <c r="J131" s="2"/>
      <c r="K131" s="6"/>
      <c r="L131" s="4"/>
      <c r="M131" s="4">
        <f t="shared" si="5"/>
        <v>0</v>
      </c>
      <c r="N131" s="7" t="s">
        <v>29</v>
      </c>
      <c r="O131" s="3"/>
      <c r="P131" s="2"/>
      <c r="Q131" s="2"/>
      <c r="R131" s="2"/>
      <c r="S131" s="4" t="s">
        <v>30</v>
      </c>
    </row>
    <row r="132" spans="1:19" ht="22" customHeight="1" x14ac:dyDescent="0.2">
      <c r="A132" s="20" t="s">
        <v>420</v>
      </c>
      <c r="B132" s="19"/>
      <c r="C132" s="19"/>
      <c r="D132" s="19"/>
      <c r="E132" s="19"/>
      <c r="F132" s="19"/>
      <c r="G132" s="19"/>
      <c r="H132" s="19"/>
      <c r="I132" s="19"/>
      <c r="J132" s="19"/>
      <c r="K132" s="19"/>
      <c r="L132" s="13"/>
      <c r="M132" s="14">
        <f>SUM(M4:M131)</f>
        <v>0</v>
      </c>
      <c r="N132" s="13"/>
      <c r="O132" s="13"/>
      <c r="P132" s="13"/>
      <c r="Q132" s="13"/>
      <c r="R132" s="13"/>
      <c r="S132" s="13"/>
    </row>
  </sheetData>
  <autoFilter ref="A3:S3" xr:uid="{00000000-0009-0000-0000-000000000000}"/>
  <mergeCells count="14">
    <mergeCell ref="A1:S1"/>
    <mergeCell ref="A118:S118"/>
    <mergeCell ref="A54:S54"/>
    <mergeCell ref="A4:S4"/>
    <mergeCell ref="A92:S92"/>
    <mergeCell ref="A73:S73"/>
    <mergeCell ref="A2:S2"/>
    <mergeCell ref="A86:S86"/>
    <mergeCell ref="A52:S52"/>
    <mergeCell ref="A81:S81"/>
    <mergeCell ref="A132:K132"/>
    <mergeCell ref="A121:S121"/>
    <mergeCell ref="A32:S32"/>
    <mergeCell ref="A8:S8"/>
  </mergeCells>
  <dataValidations count="1">
    <dataValidation type="list" allowBlank="1" sqref="N5 N6 N7 N9 N10 N11 N12 N13 N14 N15 N16 N17 N18 N19 N20 N21 N22 N23 N24 N25 N26 N27 N28 N29 N30 N31 N33 N34 N35 N36 N37 N38 N39 N40 N41 N42 N43 N44 N45 N46 N47 N48 N49 N50 N51 N53 N55 N56 N57 N58 N59 N60 N61 N62 N63 N64 N65 N66 N67 N68 N69 N70 N71 N72 N74 N75 N76 N77 N78 N79 N80 N82 N83 N84 N85 N87 N88 N89 N90 N91 N93 N94 N95 N96 N97 N98 N99 N100 N101 N102 N103 N104 N105 N106 N107 N108 N109 N110 N111 N112 N113 N114 N115 N116 N117 N119 N120 N122 N123 N124 N125 N126 N127 N128 N129 N130 N131" xr:uid="{00000000-0002-0000-0000-000000000000}">
      <formula1>"Not Started,Researching,Ordered,Received,Not Needed"</formula1>
    </dataValidation>
  </dataValidations>
  <hyperlinks>
    <hyperlink ref="F5" r:id="rId1" xr:uid="{00000000-0004-0000-0000-000000000000}"/>
    <hyperlink ref="H5" r:id="rId2" xr:uid="{00000000-0004-0000-0000-000001000000}"/>
    <hyperlink ref="F6" r:id="rId3" xr:uid="{00000000-0004-0000-0000-000002000000}"/>
    <hyperlink ref="H6" r:id="rId4" xr:uid="{00000000-0004-0000-0000-000003000000}"/>
    <hyperlink ref="J6" r:id="rId5" xr:uid="{00000000-0004-0000-0000-000004000000}"/>
    <hyperlink ref="H7" r:id="rId6" xr:uid="{00000000-0004-0000-0000-000005000000}"/>
    <hyperlink ref="H9" r:id="rId7" xr:uid="{00000000-0004-0000-0000-000006000000}"/>
    <hyperlink ref="J9" r:id="rId8" xr:uid="{00000000-0004-0000-0000-000007000000}"/>
    <hyperlink ref="H10" r:id="rId9" xr:uid="{00000000-0004-0000-0000-000008000000}"/>
    <hyperlink ref="J10" r:id="rId10" xr:uid="{00000000-0004-0000-0000-000009000000}"/>
    <hyperlink ref="H11" r:id="rId11" xr:uid="{00000000-0004-0000-0000-00000A000000}"/>
    <hyperlink ref="J11" r:id="rId12" xr:uid="{00000000-0004-0000-0000-00000B000000}"/>
    <hyperlink ref="H12" r:id="rId13" xr:uid="{00000000-0004-0000-0000-00000C000000}"/>
    <hyperlink ref="J12" r:id="rId14" xr:uid="{00000000-0004-0000-0000-00000D000000}"/>
    <hyperlink ref="H13" r:id="rId15" xr:uid="{00000000-0004-0000-0000-00000E000000}"/>
    <hyperlink ref="J13" r:id="rId16" xr:uid="{00000000-0004-0000-0000-00000F000000}"/>
    <hyperlink ref="H14" r:id="rId17" xr:uid="{00000000-0004-0000-0000-000010000000}"/>
    <hyperlink ref="J14" r:id="rId18" xr:uid="{00000000-0004-0000-0000-000011000000}"/>
    <hyperlink ref="H15" r:id="rId19" xr:uid="{00000000-0004-0000-0000-000012000000}"/>
    <hyperlink ref="J15" r:id="rId20" xr:uid="{00000000-0004-0000-0000-000013000000}"/>
    <hyperlink ref="H16" r:id="rId21" xr:uid="{00000000-0004-0000-0000-000014000000}"/>
    <hyperlink ref="J16" r:id="rId22" xr:uid="{00000000-0004-0000-0000-000015000000}"/>
    <hyperlink ref="H17" r:id="rId23" xr:uid="{00000000-0004-0000-0000-000016000000}"/>
    <hyperlink ref="J17" r:id="rId24" xr:uid="{00000000-0004-0000-0000-000017000000}"/>
    <hyperlink ref="H18" r:id="rId25" xr:uid="{00000000-0004-0000-0000-000018000000}"/>
    <hyperlink ref="J18" r:id="rId26" xr:uid="{00000000-0004-0000-0000-000019000000}"/>
    <hyperlink ref="H19" r:id="rId27" xr:uid="{00000000-0004-0000-0000-00001A000000}"/>
    <hyperlink ref="J19" r:id="rId28" xr:uid="{00000000-0004-0000-0000-00001B000000}"/>
    <hyperlink ref="H20" r:id="rId29" xr:uid="{00000000-0004-0000-0000-00001C000000}"/>
    <hyperlink ref="H21" r:id="rId30" xr:uid="{00000000-0004-0000-0000-00001D000000}"/>
    <hyperlink ref="J21" r:id="rId31" xr:uid="{00000000-0004-0000-0000-00001E000000}"/>
    <hyperlink ref="F22" r:id="rId32" xr:uid="{00000000-0004-0000-0000-00001F000000}"/>
    <hyperlink ref="H22" r:id="rId33" xr:uid="{00000000-0004-0000-0000-000020000000}"/>
    <hyperlink ref="J22" r:id="rId34" xr:uid="{00000000-0004-0000-0000-000021000000}"/>
    <hyperlink ref="H23" r:id="rId35" xr:uid="{00000000-0004-0000-0000-000022000000}"/>
    <hyperlink ref="J23" r:id="rId36" xr:uid="{00000000-0004-0000-0000-000023000000}"/>
    <hyperlink ref="H25" r:id="rId37" xr:uid="{00000000-0004-0000-0000-000024000000}"/>
    <hyperlink ref="J25" r:id="rId38" xr:uid="{00000000-0004-0000-0000-000025000000}"/>
    <hyperlink ref="H26" r:id="rId39" xr:uid="{00000000-0004-0000-0000-000026000000}"/>
    <hyperlink ref="J26" r:id="rId40" xr:uid="{00000000-0004-0000-0000-000027000000}"/>
    <hyperlink ref="H27" r:id="rId41" xr:uid="{00000000-0004-0000-0000-000028000000}"/>
    <hyperlink ref="H28" r:id="rId42" xr:uid="{00000000-0004-0000-0000-000029000000}"/>
    <hyperlink ref="J28" r:id="rId43" xr:uid="{00000000-0004-0000-0000-00002A000000}"/>
    <hyperlink ref="H29" r:id="rId44" xr:uid="{00000000-0004-0000-0000-00002B000000}"/>
    <hyperlink ref="J29" r:id="rId45" xr:uid="{00000000-0004-0000-0000-00002C000000}"/>
    <hyperlink ref="H30" r:id="rId46" xr:uid="{00000000-0004-0000-0000-00002D000000}"/>
    <hyperlink ref="J30" r:id="rId47" xr:uid="{00000000-0004-0000-0000-00002E000000}"/>
    <hyperlink ref="H31" r:id="rId48" xr:uid="{00000000-0004-0000-0000-00002F000000}"/>
    <hyperlink ref="J31" r:id="rId49" xr:uid="{00000000-0004-0000-0000-000030000000}"/>
    <hyperlink ref="F33" r:id="rId50" xr:uid="{00000000-0004-0000-0000-000031000000}"/>
    <hyperlink ref="H33" r:id="rId51" xr:uid="{00000000-0004-0000-0000-000032000000}"/>
    <hyperlink ref="J33" r:id="rId52" xr:uid="{00000000-0004-0000-0000-000033000000}"/>
    <hyperlink ref="F34" r:id="rId53" xr:uid="{00000000-0004-0000-0000-000034000000}"/>
    <hyperlink ref="F35" r:id="rId54" xr:uid="{00000000-0004-0000-0000-000035000000}"/>
    <hyperlink ref="H35" r:id="rId55" xr:uid="{00000000-0004-0000-0000-000036000000}"/>
    <hyperlink ref="F36" r:id="rId56" xr:uid="{00000000-0004-0000-0000-000037000000}"/>
    <hyperlink ref="F37" r:id="rId57" xr:uid="{00000000-0004-0000-0000-000038000000}"/>
    <hyperlink ref="F38" r:id="rId58" xr:uid="{00000000-0004-0000-0000-000039000000}"/>
    <hyperlink ref="F39" r:id="rId59" xr:uid="{00000000-0004-0000-0000-00003A000000}"/>
    <hyperlink ref="H39" r:id="rId60" xr:uid="{00000000-0004-0000-0000-00003B000000}"/>
    <hyperlink ref="J39" r:id="rId61" xr:uid="{00000000-0004-0000-0000-00003C000000}"/>
    <hyperlink ref="F40" r:id="rId62" xr:uid="{00000000-0004-0000-0000-00003D000000}"/>
    <hyperlink ref="H40" r:id="rId63" xr:uid="{00000000-0004-0000-0000-00003E000000}"/>
    <hyperlink ref="J40" r:id="rId64" xr:uid="{00000000-0004-0000-0000-00003F000000}"/>
    <hyperlink ref="F41" r:id="rId65" xr:uid="{00000000-0004-0000-0000-000040000000}"/>
    <hyperlink ref="F42" r:id="rId66" xr:uid="{00000000-0004-0000-0000-000041000000}"/>
    <hyperlink ref="H42" r:id="rId67" xr:uid="{00000000-0004-0000-0000-000042000000}"/>
    <hyperlink ref="F43" r:id="rId68" xr:uid="{00000000-0004-0000-0000-000043000000}"/>
    <hyperlink ref="H43" r:id="rId69" xr:uid="{00000000-0004-0000-0000-000044000000}"/>
    <hyperlink ref="F44" r:id="rId70" xr:uid="{00000000-0004-0000-0000-000045000000}"/>
    <hyperlink ref="F45" r:id="rId71" xr:uid="{00000000-0004-0000-0000-000046000000}"/>
    <hyperlink ref="F46" r:id="rId72" xr:uid="{00000000-0004-0000-0000-000047000000}"/>
    <hyperlink ref="H46" r:id="rId73" xr:uid="{00000000-0004-0000-0000-000048000000}"/>
    <hyperlink ref="J46" r:id="rId74" xr:uid="{00000000-0004-0000-0000-000049000000}"/>
    <hyperlink ref="F47" r:id="rId75" xr:uid="{00000000-0004-0000-0000-00004A000000}"/>
    <hyperlink ref="H47" r:id="rId76" xr:uid="{00000000-0004-0000-0000-00004B000000}"/>
    <hyperlink ref="J47" r:id="rId77" xr:uid="{00000000-0004-0000-0000-00004C000000}"/>
    <hyperlink ref="F48" r:id="rId78" xr:uid="{00000000-0004-0000-0000-00004D000000}"/>
    <hyperlink ref="H48" r:id="rId79" xr:uid="{00000000-0004-0000-0000-00004E000000}"/>
    <hyperlink ref="J48" r:id="rId80" xr:uid="{00000000-0004-0000-0000-00004F000000}"/>
    <hyperlink ref="F49" r:id="rId81" xr:uid="{00000000-0004-0000-0000-000050000000}"/>
    <hyperlink ref="H49" r:id="rId82" xr:uid="{00000000-0004-0000-0000-000051000000}"/>
    <hyperlink ref="J49" r:id="rId83" xr:uid="{00000000-0004-0000-0000-000052000000}"/>
    <hyperlink ref="F50" r:id="rId84" xr:uid="{00000000-0004-0000-0000-000053000000}"/>
    <hyperlink ref="H50" r:id="rId85" xr:uid="{00000000-0004-0000-0000-000054000000}"/>
    <hyperlink ref="J50" r:id="rId86" xr:uid="{00000000-0004-0000-0000-000055000000}"/>
    <hyperlink ref="F51" r:id="rId87" xr:uid="{00000000-0004-0000-0000-000056000000}"/>
    <hyperlink ref="H51" r:id="rId88" xr:uid="{00000000-0004-0000-0000-000057000000}"/>
    <hyperlink ref="J51" r:id="rId89" xr:uid="{00000000-0004-0000-0000-000058000000}"/>
    <hyperlink ref="F53" r:id="rId90" xr:uid="{00000000-0004-0000-0000-000059000000}"/>
    <hyperlink ref="H53" r:id="rId91" xr:uid="{00000000-0004-0000-0000-00005A000000}"/>
    <hyperlink ref="J53" r:id="rId92" xr:uid="{00000000-0004-0000-0000-00005B000000}"/>
    <hyperlink ref="F55" r:id="rId93" xr:uid="{00000000-0004-0000-0000-00005C000000}"/>
    <hyperlink ref="H55" r:id="rId94" xr:uid="{00000000-0004-0000-0000-00005D000000}"/>
    <hyperlink ref="F56" r:id="rId95" xr:uid="{00000000-0004-0000-0000-00005E000000}"/>
    <hyperlink ref="H56" r:id="rId96" xr:uid="{00000000-0004-0000-0000-00005F000000}"/>
    <hyperlink ref="J56" r:id="rId97" xr:uid="{00000000-0004-0000-0000-000060000000}"/>
    <hyperlink ref="F57" r:id="rId98" xr:uid="{00000000-0004-0000-0000-000061000000}"/>
    <hyperlink ref="F58" r:id="rId99" xr:uid="{00000000-0004-0000-0000-000062000000}"/>
    <hyperlink ref="H58" r:id="rId100" xr:uid="{00000000-0004-0000-0000-000063000000}"/>
    <hyperlink ref="J58" r:id="rId101" xr:uid="{00000000-0004-0000-0000-000064000000}"/>
    <hyperlink ref="F59" r:id="rId102" xr:uid="{00000000-0004-0000-0000-000065000000}"/>
    <hyperlink ref="H59" r:id="rId103" xr:uid="{00000000-0004-0000-0000-000066000000}"/>
    <hyperlink ref="J59" r:id="rId104" xr:uid="{00000000-0004-0000-0000-000067000000}"/>
    <hyperlink ref="F60" r:id="rId105" xr:uid="{00000000-0004-0000-0000-000068000000}"/>
    <hyperlink ref="H60" r:id="rId106" xr:uid="{00000000-0004-0000-0000-000069000000}"/>
    <hyperlink ref="F61" r:id="rId107" xr:uid="{00000000-0004-0000-0000-00006A000000}"/>
    <hyperlink ref="F62" r:id="rId108" xr:uid="{00000000-0004-0000-0000-00006B000000}"/>
    <hyperlink ref="H62" r:id="rId109" xr:uid="{00000000-0004-0000-0000-00006C000000}"/>
    <hyperlink ref="F63" r:id="rId110" xr:uid="{00000000-0004-0000-0000-00006D000000}"/>
    <hyperlink ref="F64" r:id="rId111" xr:uid="{00000000-0004-0000-0000-00006E000000}"/>
    <hyperlink ref="F65" r:id="rId112" xr:uid="{00000000-0004-0000-0000-00006F000000}"/>
    <hyperlink ref="H65" r:id="rId113" xr:uid="{00000000-0004-0000-0000-000070000000}"/>
    <hyperlink ref="F66" r:id="rId114" xr:uid="{00000000-0004-0000-0000-000071000000}"/>
    <hyperlink ref="H66" r:id="rId115" xr:uid="{00000000-0004-0000-0000-000072000000}"/>
    <hyperlink ref="F67" r:id="rId116" xr:uid="{00000000-0004-0000-0000-000073000000}"/>
    <hyperlink ref="F68" r:id="rId117" xr:uid="{00000000-0004-0000-0000-000074000000}"/>
    <hyperlink ref="H68" r:id="rId118" xr:uid="{00000000-0004-0000-0000-000075000000}"/>
    <hyperlink ref="F69" r:id="rId119" xr:uid="{00000000-0004-0000-0000-000076000000}"/>
    <hyperlink ref="H69" r:id="rId120" xr:uid="{00000000-0004-0000-0000-000077000000}"/>
    <hyperlink ref="F70" r:id="rId121" xr:uid="{00000000-0004-0000-0000-000078000000}"/>
    <hyperlink ref="H70" r:id="rId122" xr:uid="{00000000-0004-0000-0000-000079000000}"/>
    <hyperlink ref="J70" r:id="rId123" xr:uid="{00000000-0004-0000-0000-00007A000000}"/>
    <hyperlink ref="F71" r:id="rId124" xr:uid="{00000000-0004-0000-0000-00007B000000}"/>
    <hyperlink ref="F72" r:id="rId125" xr:uid="{00000000-0004-0000-0000-00007C000000}"/>
    <hyperlink ref="F74" r:id="rId126" xr:uid="{00000000-0004-0000-0000-00007D000000}"/>
    <hyperlink ref="F75" r:id="rId127" xr:uid="{00000000-0004-0000-0000-00007E000000}"/>
    <hyperlink ref="F76" r:id="rId128" xr:uid="{00000000-0004-0000-0000-00007F000000}"/>
    <hyperlink ref="F77" r:id="rId129" xr:uid="{00000000-0004-0000-0000-000080000000}"/>
    <hyperlink ref="H77" r:id="rId130" xr:uid="{00000000-0004-0000-0000-000081000000}"/>
    <hyperlink ref="F78" r:id="rId131" xr:uid="{00000000-0004-0000-0000-000082000000}"/>
    <hyperlink ref="F80" r:id="rId132" xr:uid="{00000000-0004-0000-0000-000083000000}"/>
    <hyperlink ref="F82" r:id="rId133" xr:uid="{00000000-0004-0000-0000-000084000000}"/>
    <hyperlink ref="F83" r:id="rId134" xr:uid="{00000000-0004-0000-0000-000085000000}"/>
    <hyperlink ref="F87" r:id="rId135" xr:uid="{00000000-0004-0000-0000-000086000000}"/>
    <hyperlink ref="H87" r:id="rId136" xr:uid="{00000000-0004-0000-0000-000087000000}"/>
    <hyperlink ref="F88" r:id="rId137" xr:uid="{00000000-0004-0000-0000-000088000000}"/>
    <hyperlink ref="H88" r:id="rId138" xr:uid="{00000000-0004-0000-0000-000089000000}"/>
    <hyperlink ref="F89" r:id="rId139" xr:uid="{00000000-0004-0000-0000-00008A000000}"/>
    <hyperlink ref="H89" r:id="rId140" xr:uid="{00000000-0004-0000-0000-00008B000000}"/>
    <hyperlink ref="F90" r:id="rId141" xr:uid="{00000000-0004-0000-0000-00008C000000}"/>
    <hyperlink ref="F91" r:id="rId142" xr:uid="{00000000-0004-0000-0000-00008D000000}"/>
    <hyperlink ref="F93" r:id="rId143" xr:uid="{00000000-0004-0000-0000-00008E000000}"/>
    <hyperlink ref="F94" r:id="rId144" xr:uid="{00000000-0004-0000-0000-00008F000000}"/>
    <hyperlink ref="F95" r:id="rId145" xr:uid="{00000000-0004-0000-0000-000090000000}"/>
    <hyperlink ref="H95" r:id="rId146" xr:uid="{00000000-0004-0000-0000-000091000000}"/>
    <hyperlink ref="F96" r:id="rId147" xr:uid="{00000000-0004-0000-0000-000092000000}"/>
    <hyperlink ref="H96" r:id="rId148" xr:uid="{00000000-0004-0000-0000-000093000000}"/>
    <hyperlink ref="F97" r:id="rId149" xr:uid="{00000000-0004-0000-0000-000094000000}"/>
    <hyperlink ref="F98" r:id="rId150" xr:uid="{00000000-0004-0000-0000-000095000000}"/>
    <hyperlink ref="F99" r:id="rId151" xr:uid="{00000000-0004-0000-0000-000096000000}"/>
    <hyperlink ref="F100" r:id="rId152" xr:uid="{00000000-0004-0000-0000-000097000000}"/>
    <hyperlink ref="F101" r:id="rId153" xr:uid="{00000000-0004-0000-0000-000098000000}"/>
    <hyperlink ref="F102" r:id="rId154" xr:uid="{00000000-0004-0000-0000-000099000000}"/>
    <hyperlink ref="F103" r:id="rId155" xr:uid="{00000000-0004-0000-0000-00009A000000}"/>
    <hyperlink ref="F104" r:id="rId156" xr:uid="{00000000-0004-0000-0000-00009B000000}"/>
    <hyperlink ref="F105" r:id="rId157" xr:uid="{00000000-0004-0000-0000-00009C000000}"/>
    <hyperlink ref="F106" r:id="rId158" xr:uid="{00000000-0004-0000-0000-00009D000000}"/>
    <hyperlink ref="F107" r:id="rId159" xr:uid="{00000000-0004-0000-0000-00009E000000}"/>
    <hyperlink ref="F108" r:id="rId160" xr:uid="{00000000-0004-0000-0000-00009F000000}"/>
    <hyperlink ref="H108" r:id="rId161" xr:uid="{00000000-0004-0000-0000-0000A0000000}"/>
    <hyperlink ref="J108" r:id="rId162" xr:uid="{00000000-0004-0000-0000-0000A1000000}"/>
    <hyperlink ref="F112" r:id="rId163" xr:uid="{00000000-0004-0000-0000-0000A2000000}"/>
    <hyperlink ref="H112" r:id="rId164" xr:uid="{00000000-0004-0000-0000-0000A3000000}"/>
    <hyperlink ref="F113" r:id="rId165" xr:uid="{00000000-0004-0000-0000-0000A4000000}"/>
    <hyperlink ref="H113" r:id="rId166" xr:uid="{00000000-0004-0000-0000-0000A5000000}"/>
    <hyperlink ref="J113" r:id="rId167" xr:uid="{00000000-0004-0000-0000-0000A6000000}"/>
    <hyperlink ref="F119" r:id="rId168" xr:uid="{00000000-0004-0000-0000-0000A7000000}"/>
    <hyperlink ref="H119" r:id="rId169" xr:uid="{00000000-0004-0000-0000-0000A8000000}"/>
    <hyperlink ref="F120" r:id="rId170" xr:uid="{00000000-0004-0000-0000-0000A9000000}"/>
    <hyperlink ref="F122" r:id="rId171" xr:uid="{00000000-0004-0000-0000-0000AA000000}"/>
    <hyperlink ref="F125" r:id="rId172" xr:uid="{00000000-0004-0000-0000-0000AB000000}"/>
    <hyperlink ref="H125" r:id="rId173" xr:uid="{00000000-0004-0000-0000-0000AC000000}"/>
    <hyperlink ref="F126" r:id="rId174" xr:uid="{00000000-0004-0000-0000-0000AD000000}"/>
    <hyperlink ref="H126" r:id="rId175" xr:uid="{00000000-0004-0000-0000-0000AE000000}"/>
    <hyperlink ref="F127" r:id="rId176" xr:uid="{00000000-0004-0000-0000-0000AF000000}"/>
    <hyperlink ref="H127" r:id="rId177" xr:uid="{00000000-0004-0000-0000-0000B0000000}"/>
    <hyperlink ref="F128" r:id="rId178" xr:uid="{00000000-0004-0000-0000-0000B1000000}"/>
    <hyperlink ref="H128" r:id="rId179" xr:uid="{00000000-0004-0000-0000-0000B2000000}"/>
    <hyperlink ref="F129" r:id="rId180" xr:uid="{00000000-0004-0000-0000-0000B3000000}"/>
    <hyperlink ref="H129" r:id="rId181" xr:uid="{00000000-0004-0000-0000-0000B4000000}"/>
    <hyperlink ref="F130" r:id="rId182" xr:uid="{00000000-0004-0000-0000-0000B5000000}"/>
    <hyperlink ref="H130" r:id="rId183" xr:uid="{00000000-0004-0000-0000-0000B6000000}"/>
    <hyperlink ref="F131" r:id="rId184" xr:uid="{00000000-0004-0000-0000-0000B7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4"/>
  <sheetViews>
    <sheetView workbookViewId="0"/>
  </sheetViews>
  <sheetFormatPr baseColWidth="10" defaultColWidth="8.83203125" defaultRowHeight="15" x14ac:dyDescent="0.2"/>
  <cols>
    <col min="1" max="1" width="110" customWidth="1"/>
  </cols>
  <sheetData>
    <row r="1" spans="1:1" ht="20" customHeight="1" x14ac:dyDescent="0.2">
      <c r="A1" s="15" t="s">
        <v>421</v>
      </c>
    </row>
    <row r="2" spans="1:1" ht="8" customHeight="1" x14ac:dyDescent="0.2">
      <c r="A2" s="16"/>
    </row>
    <row r="3" spans="1:1" ht="20" customHeight="1" x14ac:dyDescent="0.2">
      <c r="A3" s="17" t="s">
        <v>422</v>
      </c>
    </row>
    <row r="4" spans="1:1" ht="20" customHeight="1" x14ac:dyDescent="0.2">
      <c r="A4" s="16" t="s">
        <v>423</v>
      </c>
    </row>
    <row r="5" spans="1:1" ht="20" customHeight="1" x14ac:dyDescent="0.2">
      <c r="A5" s="16" t="s">
        <v>424</v>
      </c>
    </row>
    <row r="6" spans="1:1" ht="20" customHeight="1" x14ac:dyDescent="0.2">
      <c r="A6" s="16" t="s">
        <v>425</v>
      </c>
    </row>
    <row r="7" spans="1:1" ht="20" customHeight="1" x14ac:dyDescent="0.2">
      <c r="A7" s="16" t="s">
        <v>426</v>
      </c>
    </row>
    <row r="8" spans="1:1" ht="20" customHeight="1" x14ac:dyDescent="0.2">
      <c r="A8" s="16" t="s">
        <v>427</v>
      </c>
    </row>
    <row r="9" spans="1:1" ht="8" customHeight="1" x14ac:dyDescent="0.2">
      <c r="A9" s="16"/>
    </row>
    <row r="10" spans="1:1" ht="20" customHeight="1" x14ac:dyDescent="0.2">
      <c r="A10" s="17" t="s">
        <v>428</v>
      </c>
    </row>
    <row r="11" spans="1:1" ht="20" customHeight="1" x14ac:dyDescent="0.2">
      <c r="A11" s="16" t="s">
        <v>429</v>
      </c>
    </row>
    <row r="12" spans="1:1" ht="20" customHeight="1" x14ac:dyDescent="0.2">
      <c r="A12" s="16" t="s">
        <v>430</v>
      </c>
    </row>
    <row r="13" spans="1:1" ht="20" customHeight="1" x14ac:dyDescent="0.2">
      <c r="A13" s="16" t="s">
        <v>431</v>
      </c>
    </row>
    <row r="14" spans="1:1" ht="20" customHeight="1" x14ac:dyDescent="0.2">
      <c r="A14" s="16" t="s">
        <v>432</v>
      </c>
    </row>
    <row r="15" spans="1:1" ht="20" customHeight="1" x14ac:dyDescent="0.2">
      <c r="A15" s="16" t="s">
        <v>433</v>
      </c>
    </row>
    <row r="16" spans="1:1" ht="20" customHeight="1" x14ac:dyDescent="0.2">
      <c r="A16" s="16" t="s">
        <v>434</v>
      </c>
    </row>
    <row r="17" spans="1:1" ht="8" customHeight="1" x14ac:dyDescent="0.2">
      <c r="A17" s="16"/>
    </row>
    <row r="18" spans="1:1" ht="20" customHeight="1" x14ac:dyDescent="0.2">
      <c r="A18" s="17" t="s">
        <v>435</v>
      </c>
    </row>
    <row r="19" spans="1:1" ht="20" customHeight="1" x14ac:dyDescent="0.2">
      <c r="A19" s="16" t="s">
        <v>436</v>
      </c>
    </row>
    <row r="20" spans="1:1" ht="20" customHeight="1" x14ac:dyDescent="0.2">
      <c r="A20" s="16" t="s">
        <v>437</v>
      </c>
    </row>
    <row r="21" spans="1:1" ht="20" customHeight="1" x14ac:dyDescent="0.2">
      <c r="A21" s="16" t="s">
        <v>438</v>
      </c>
    </row>
    <row r="22" spans="1:1" ht="20" customHeight="1" x14ac:dyDescent="0.2">
      <c r="A22" s="16" t="s">
        <v>439</v>
      </c>
    </row>
    <row r="23" spans="1:1" ht="20" customHeight="1" x14ac:dyDescent="0.2">
      <c r="A23" s="16" t="s">
        <v>440</v>
      </c>
    </row>
    <row r="24" spans="1:1" ht="20" customHeight="1" x14ac:dyDescent="0.2">
      <c r="A24" s="16" t="s">
        <v>441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Voron 2.4 BOM Tracker</vt:lpstr>
      <vt:lpstr>Instructions &amp;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Lingenfelter</cp:lastModifiedBy>
  <dcterms:created xsi:type="dcterms:W3CDTF">2026-06-04T18:40:11Z</dcterms:created>
  <dcterms:modified xsi:type="dcterms:W3CDTF">2026-06-04T22:30:06Z</dcterms:modified>
</cp:coreProperties>
</file>