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T Purchase Tracker" sheetId="1" state="visible" r:id="rId1"/>
    <sheet xmlns:r="http://schemas.openxmlformats.org/officeDocument/2006/relationships" name="Buy List by Step" sheetId="2" state="visible" r:id="rId2"/>
    <sheet xmlns:r="http://schemas.openxmlformats.org/officeDocument/2006/relationships" name="Key &amp; Tips" sheetId="3" state="visible" r:id="rId3"/>
  </sheets>
  <definedNames>
    <definedName name="_xlnm._FilterDatabase" localSheetId="0" hidden="1">'JIT Purchase Tracker'!$A$3:$N$3</definedName>
  </definedNames>
  <calcPr calcId="124519" fullCalcOnLoad="1"/>
</workbook>
</file>

<file path=xl/styles.xml><?xml version="1.0" encoding="utf-8"?>
<styleSheet xmlns="http://schemas.openxmlformats.org/spreadsheetml/2006/main">
  <numFmts count="1">
    <numFmt numFmtId="164" formatCode="&quot;$&quot;#,##0.00"/>
  </numFmts>
  <fonts count="14">
    <font>
      <name val="Calibri"/>
      <family val="2"/>
      <color theme="1"/>
      <sz val="11"/>
      <scheme val="minor"/>
    </font>
    <font>
      <name val="Arial"/>
      <b val="1"/>
      <color rgb="FFFFFFFF"/>
      <sz val="16"/>
    </font>
    <font>
      <name val="Arial"/>
      <i val="1"/>
      <color rgb="FFCCCCDD"/>
      <sz val="9"/>
    </font>
    <font>
      <name val="Arial"/>
      <b val="1"/>
      <color rgb="FFFFFFFF"/>
      <sz val="10"/>
    </font>
    <font>
      <name val="Arial"/>
      <b val="1"/>
      <color rgb="FFFFD700"/>
      <sz val="11"/>
    </font>
    <font>
      <name val="Arial"/>
      <color rgb="FF000000"/>
      <sz val="10"/>
    </font>
    <font>
      <name val="Arial"/>
      <b val="1"/>
      <color rgb="FF5C4500"/>
      <sz val="10"/>
    </font>
    <font>
      <name val="Arial"/>
      <color rgb="FF888888"/>
      <sz val="10"/>
    </font>
    <font>
      <name val="Arial"/>
      <b val="1"/>
      <color rgb="FFFFD700"/>
      <sz val="12"/>
    </font>
    <font>
      <name val="Arial"/>
      <b val="1"/>
      <color rgb="FFFFFFFF"/>
      <sz val="14"/>
    </font>
    <font>
      <name val="Arial"/>
      <b val="1"/>
      <color rgb="FFFFFFFF"/>
      <sz val="9"/>
    </font>
    <font>
      <name val="Arial"/>
      <color rgb="FF000000"/>
      <sz val="9"/>
    </font>
    <font>
      <name val="Arial"/>
      <b val="1"/>
      <color rgb="FF5C4500"/>
      <sz val="9"/>
    </font>
    <font>
      <name val="Arial"/>
      <b val="1"/>
      <color rgb="FFFFFFFF"/>
      <sz val="12"/>
    </font>
  </fonts>
  <fills count="10">
    <fill>
      <patternFill/>
    </fill>
    <fill>
      <patternFill patternType="gray125"/>
    </fill>
    <fill>
      <patternFill patternType="solid">
        <fgColor rgb="FF1A1A2E"/>
      </patternFill>
    </fill>
    <fill>
      <patternFill patternType="solid">
        <fgColor rgb="FF0D0D1A"/>
      </patternFill>
    </fill>
    <fill>
      <patternFill patternType="solid">
        <fgColor rgb="FF0F3460"/>
      </patternFill>
    </fill>
    <fill>
      <patternFill patternType="solid">
        <fgColor rgb="FF16213E"/>
      </patternFill>
    </fill>
    <fill>
      <patternFill patternType="solid">
        <fgColor rgb="FFFFFFF0"/>
      </patternFill>
    </fill>
    <fill>
      <patternFill patternType="solid">
        <fgColor rgb="FFFFD700"/>
      </patternFill>
    </fill>
    <fill>
      <patternFill patternType="solid">
        <fgColor rgb="FFF0F4FF"/>
      </patternFill>
    </fill>
    <fill>
      <patternFill patternType="solid">
        <fgColor rgb="FFFFFFFF"/>
      </patternFill>
    </fill>
  </fills>
  <borders count="2">
    <border>
      <left/>
      <right/>
      <top/>
      <bottom/>
      <diagonal/>
    </border>
    <border>
      <left style="thin">
        <color rgb="FFAAAACC"/>
      </left>
      <right style="thin">
        <color rgb="FFAAAACC"/>
      </right>
      <top style="thin">
        <color rgb="FFAAAACC"/>
      </top>
      <bottom style="thin">
        <color rgb="FFAAAACC"/>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vertical="center"/>
    </xf>
    <xf numFmtId="0" fontId="5" fillId="6" borderId="1" applyAlignment="1" pivotButton="0" quotePrefix="0" xfId="0">
      <alignment vertical="center"/>
    </xf>
    <xf numFmtId="0" fontId="5" fillId="6" borderId="1" applyAlignment="1" pivotButton="0" quotePrefix="0" xfId="0">
      <alignment vertical="center" wrapText="1"/>
    </xf>
    <xf numFmtId="0" fontId="5" fillId="6" borderId="1" applyAlignment="1" pivotButton="0" quotePrefix="0" xfId="0">
      <alignment horizontal="center" vertical="center"/>
    </xf>
    <xf numFmtId="0" fontId="6" fillId="7" borderId="1" applyAlignment="1" pivotButton="0" quotePrefix="0" xfId="0">
      <alignment horizontal="center" vertical="center"/>
    </xf>
    <xf numFmtId="164" fontId="5" fillId="6" borderId="1" applyAlignment="1" pivotButton="0" quotePrefix="0" xfId="0">
      <alignment horizontal="center" vertical="center"/>
    </xf>
    <xf numFmtId="0" fontId="5" fillId="8" borderId="1" applyAlignment="1" pivotButton="0" quotePrefix="0" xfId="0">
      <alignment vertical="center"/>
    </xf>
    <xf numFmtId="0" fontId="5" fillId="8" borderId="1" applyAlignment="1" pivotButton="0" quotePrefix="0" xfId="0">
      <alignment vertical="center" wrapText="1"/>
    </xf>
    <xf numFmtId="0" fontId="5" fillId="8" borderId="1" applyAlignment="1" pivotButton="0" quotePrefix="0" xfId="0">
      <alignment horizontal="center" vertical="center"/>
    </xf>
    <xf numFmtId="0" fontId="7" fillId="8" borderId="1" applyAlignment="1" pivotButton="0" quotePrefix="0" xfId="0">
      <alignment horizontal="center" vertical="center"/>
    </xf>
    <xf numFmtId="164" fontId="5" fillId="8" borderId="1" applyAlignment="1" pivotButton="0" quotePrefix="0" xfId="0">
      <alignment horizontal="center" vertical="center"/>
    </xf>
    <xf numFmtId="0" fontId="5" fillId="9" borderId="1" applyAlignment="1" pivotButton="0" quotePrefix="0" xfId="0">
      <alignment vertical="center"/>
    </xf>
    <xf numFmtId="0" fontId="5" fillId="9" borderId="1" applyAlignment="1" pivotButton="0" quotePrefix="0" xfId="0">
      <alignment vertical="center" wrapText="1"/>
    </xf>
    <xf numFmtId="0" fontId="5" fillId="9" borderId="1" applyAlignment="1" pivotButton="0" quotePrefix="0" xfId="0">
      <alignment horizontal="center" vertical="center"/>
    </xf>
    <xf numFmtId="0" fontId="7" fillId="9" borderId="1" applyAlignment="1" pivotButton="0" quotePrefix="0" xfId="0">
      <alignment horizontal="center" vertical="center"/>
    </xf>
    <xf numFmtId="164" fontId="5" fillId="9" borderId="1" applyAlignment="1" pivotButton="0" quotePrefix="0" xfId="0">
      <alignment horizontal="center" vertical="center"/>
    </xf>
    <xf numFmtId="0" fontId="3" fillId="2" borderId="1" applyAlignment="1" pivotButton="0" quotePrefix="0" xfId="0">
      <alignment horizontal="right" vertical="center"/>
    </xf>
    <xf numFmtId="164" fontId="8" fillId="2" borderId="1" pivotButton="0" quotePrefix="0" xfId="0"/>
    <xf numFmtId="0" fontId="0" fillId="2" borderId="1" pivotButton="0" quotePrefix="0" xfId="0"/>
    <xf numFmtId="0" fontId="9" fillId="2" borderId="0" applyAlignment="1" pivotButton="0" quotePrefix="0" xfId="0">
      <alignment horizontal="center" vertical="center"/>
    </xf>
    <xf numFmtId="0" fontId="10" fillId="4" borderId="1" applyAlignment="1" pivotButton="0" quotePrefix="0" xfId="0">
      <alignment horizontal="center" vertical="center"/>
    </xf>
    <xf numFmtId="0" fontId="11"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center" vertical="center"/>
    </xf>
    <xf numFmtId="0" fontId="11" fillId="9" borderId="1" applyAlignment="1" pivotButton="0" quotePrefix="0" xfId="0">
      <alignment horizontal="left" vertical="center" wrapText="1"/>
    </xf>
    <xf numFmtId="0" fontId="11" fillId="9" borderId="1" applyAlignment="1" pivotButton="0" quotePrefix="0" xfId="0">
      <alignment horizontal="center" vertical="center"/>
    </xf>
    <xf numFmtId="0" fontId="11" fillId="8" borderId="1" applyAlignment="1" pivotButton="0" quotePrefix="0" xfId="0">
      <alignment horizontal="left" vertical="center" wrapText="1"/>
    </xf>
    <xf numFmtId="0" fontId="11" fillId="8" borderId="1" applyAlignment="1" pivotButton="0" quotePrefix="0" xfId="0">
      <alignment horizontal="center" vertical="center"/>
    </xf>
    <xf numFmtId="0" fontId="9" fillId="2" borderId="0" applyAlignment="1" pivotButton="0" quotePrefix="0" xfId="0">
      <alignment vertical="center" wrapText="1"/>
    </xf>
    <xf numFmtId="0" fontId="5" fillId="9" borderId="0" applyAlignment="1" pivotButton="0" quotePrefix="0" xfId="0">
      <alignment vertical="center" wrapText="1"/>
    </xf>
    <xf numFmtId="0" fontId="1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pane ySplit="3" topLeftCell="A4" activePane="bottomLeft" state="frozen"/>
      <selection pane="bottomLeft" activeCell="A1" sqref="A1"/>
    </sheetView>
  </sheetViews>
  <sheetFormatPr baseColWidth="8" defaultRowHeight="15"/>
  <cols>
    <col width="28" customWidth="1" min="1" max="1"/>
    <col width="18" customWidth="1" min="2" max="2"/>
    <col width="44" customWidth="1" min="3" max="3"/>
    <col width="6" customWidth="1" min="4" max="4"/>
    <col width="14" customWidth="1" min="5" max="5"/>
    <col width="36" customWidth="1" min="6" max="6"/>
    <col width="11" customWidth="1" min="7" max="7"/>
    <col width="11" customWidth="1" min="8" max="8"/>
    <col width="12" customWidth="1" min="9" max="9"/>
    <col width="22" customWidth="1" min="10" max="10"/>
    <col width="13" customWidth="1" min="11" max="11"/>
    <col width="12" customWidth="1" min="12" max="12"/>
    <col width="12" customWidth="1" min="13" max="13"/>
    <col width="5" customWidth="1" min="14" max="14"/>
  </cols>
  <sheetData>
    <row r="1" ht="34" customHeight="1">
      <c r="A1" s="1" t="inlineStr">
        <is>
          <t>Voron 2.4 – JIT Purchase Tracker  (Ordered by Assembly Step)</t>
        </is>
      </c>
    </row>
    <row r="2" ht="16" customHeight="1">
      <c r="A2" s="2" t="inlineStr">
        <is>
          <t>Sorted by the assembly step that first needs each part  |  ⚡ Yellow rows = Buy ALL at first step needed (fasteners, bearings, etc.) — same logic as pre-buying all your screws  |  Generated from Voron Configurator BOM</t>
        </is>
      </c>
    </row>
    <row r="3" ht="34" customHeight="1">
      <c r="A3" s="3" t="inlineStr">
        <is>
          <t>When to Buy
(Assembly Step)</t>
        </is>
      </c>
      <c r="B3" s="3" t="inlineStr">
        <is>
          <t>BOM Category</t>
        </is>
      </c>
      <c r="C3" s="3" t="inlineStr">
        <is>
          <t>Description</t>
        </is>
      </c>
      <c r="D3" s="3" t="inlineStr">
        <is>
          <t>Qty</t>
        </is>
      </c>
      <c r="E3" s="3" t="inlineStr">
        <is>
          <t>Buy All
Now?</t>
        </is>
      </c>
      <c r="F3" s="3" t="inlineStr">
        <is>
          <t>Purchase Notes</t>
        </is>
      </c>
      <c r="G3" s="3" t="inlineStr">
        <is>
          <t>Est Unit
Price (USD)</t>
        </is>
      </c>
      <c r="H3" s="3" t="inlineStr">
        <is>
          <t>Total Est
Cost</t>
        </is>
      </c>
      <c r="I3" s="3" t="inlineStr">
        <is>
          <t>Status</t>
        </is>
      </c>
      <c r="J3" s="3" t="inlineStr">
        <is>
          <t>Purchased From</t>
        </is>
      </c>
      <c r="K3" s="3" t="inlineStr">
        <is>
          <t>Order #</t>
        </is>
      </c>
      <c r="L3" s="3" t="inlineStr">
        <is>
          <t>Date
Ordered</t>
        </is>
      </c>
      <c r="M3" s="3" t="inlineStr">
        <is>
          <t>Date
Received</t>
        </is>
      </c>
      <c r="N3" s="3" t="inlineStr">
        <is>
          <t>✓</t>
        </is>
      </c>
    </row>
    <row r="4" ht="20" customHeight="1">
      <c r="A4" s="4" t="inlineStr">
        <is>
          <t xml:space="preserve">  ▶  1 – FRAME  —  Buy these parts before this assembly step</t>
        </is>
      </c>
    </row>
    <row r="5" ht="18" customHeight="1">
      <c r="A5" s="5" t="inlineStr">
        <is>
          <t>1 – Frame</t>
        </is>
      </c>
      <c r="B5" s="5" t="inlineStr">
        <is>
          <t>Fasteners</t>
        </is>
      </c>
      <c r="C5" s="6" t="inlineStr">
        <is>
          <t>M5x40 SHCS</t>
        </is>
      </c>
      <c r="D5" s="7" t="n">
        <v>22</v>
      </c>
      <c r="E5" s="8" t="inlineStr">
        <is>
          <t>⚡ Buy All Now</t>
        </is>
      </c>
      <c r="F5" s="6" t="inlineStr">
        <is>
          <t>Frame extrusion assembly</t>
        </is>
      </c>
      <c r="G5" s="7" t="inlineStr"/>
      <c r="H5" s="9">
        <f>IF(ISNUMBER(G5),D5*G5,"")</f>
        <v/>
      </c>
      <c r="I5" s="5" t="inlineStr">
        <is>
          <t>Research</t>
        </is>
      </c>
      <c r="J5" s="6" t="inlineStr"/>
      <c r="K5" s="5" t="inlineStr"/>
      <c r="L5" s="5" t="inlineStr"/>
      <c r="M5" s="5" t="inlineStr"/>
      <c r="N5" s="7" t="inlineStr">
        <is>
          <t>☐</t>
        </is>
      </c>
    </row>
    <row r="6" ht="18" customHeight="1">
      <c r="A6" s="5" t="inlineStr">
        <is>
          <t>1 – Frame</t>
        </is>
      </c>
      <c r="B6" s="5" t="inlineStr">
        <is>
          <t>Fasteners</t>
        </is>
      </c>
      <c r="C6" s="6" t="inlineStr">
        <is>
          <t>M5x30 BHCS</t>
        </is>
      </c>
      <c r="D6" s="7" t="n">
        <v>22</v>
      </c>
      <c r="E6" s="8" t="inlineStr">
        <is>
          <t>⚡ Buy All Now</t>
        </is>
      </c>
      <c r="F6" s="6" t="inlineStr">
        <is>
          <t>Frame extrusion assembly</t>
        </is>
      </c>
      <c r="G6" s="7" t="inlineStr"/>
      <c r="H6" s="9">
        <f>IF(ISNUMBER(G6),D6*G6,"")</f>
        <v/>
      </c>
      <c r="I6" s="5" t="inlineStr">
        <is>
          <t>Research</t>
        </is>
      </c>
      <c r="J6" s="6" t="inlineStr"/>
      <c r="K6" s="5" t="inlineStr"/>
      <c r="L6" s="5" t="inlineStr"/>
      <c r="M6" s="5" t="inlineStr"/>
      <c r="N6" s="7" t="inlineStr">
        <is>
          <t>☐</t>
        </is>
      </c>
    </row>
    <row r="7" ht="18" customHeight="1">
      <c r="A7" s="5" t="inlineStr">
        <is>
          <t>1 – Frame</t>
        </is>
      </c>
      <c r="B7" s="5" t="inlineStr">
        <is>
          <t>Fasteners</t>
        </is>
      </c>
      <c r="C7" s="6" t="inlineStr">
        <is>
          <t>M5x16 BHCS</t>
        </is>
      </c>
      <c r="D7" s="7" t="n">
        <v>35</v>
      </c>
      <c r="E7" s="8" t="inlineStr">
        <is>
          <t>⚡ Buy All Now</t>
        </is>
      </c>
      <c r="F7" s="6" t="inlineStr">
        <is>
          <t>Frame/panel clips</t>
        </is>
      </c>
      <c r="G7" s="7" t="inlineStr"/>
      <c r="H7" s="9">
        <f>IF(ISNUMBER(G7),D7*G7,"")</f>
        <v/>
      </c>
      <c r="I7" s="5" t="inlineStr">
        <is>
          <t>Research</t>
        </is>
      </c>
      <c r="J7" s="6" t="inlineStr"/>
      <c r="K7" s="5" t="inlineStr"/>
      <c r="L7" s="5" t="inlineStr"/>
      <c r="M7" s="5" t="inlineStr"/>
      <c r="N7" s="7" t="inlineStr">
        <is>
          <t>☐</t>
        </is>
      </c>
    </row>
    <row r="8" ht="18" customHeight="1">
      <c r="A8" s="5" t="inlineStr">
        <is>
          <t>1 – Frame</t>
        </is>
      </c>
      <c r="B8" s="5" t="inlineStr">
        <is>
          <t>Fasteners</t>
        </is>
      </c>
      <c r="C8" s="6" t="inlineStr">
        <is>
          <t>M5x10 BHCS</t>
        </is>
      </c>
      <c r="D8" s="7" t="n">
        <v>35</v>
      </c>
      <c r="E8" s="8" t="inlineStr">
        <is>
          <t>⚡ Buy All Now</t>
        </is>
      </c>
      <c r="F8" s="6" t="inlineStr">
        <is>
          <t>Frame extrusion assembly</t>
        </is>
      </c>
      <c r="G8" s="7" t="inlineStr"/>
      <c r="H8" s="9">
        <f>IF(ISNUMBER(G8),D8*G8,"")</f>
        <v/>
      </c>
      <c r="I8" s="5" t="inlineStr">
        <is>
          <t>Research</t>
        </is>
      </c>
      <c r="J8" s="6" t="inlineStr"/>
      <c r="K8" s="5" t="inlineStr"/>
      <c r="L8" s="5" t="inlineStr"/>
      <c r="M8" s="5" t="inlineStr"/>
      <c r="N8" s="7" t="inlineStr">
        <is>
          <t>☐</t>
        </is>
      </c>
    </row>
    <row r="9" ht="18" customHeight="1">
      <c r="A9" s="5" t="inlineStr">
        <is>
          <t>1 – Frame</t>
        </is>
      </c>
      <c r="B9" s="5" t="inlineStr">
        <is>
          <t>Fasteners</t>
        </is>
      </c>
      <c r="C9" s="6" t="inlineStr">
        <is>
          <t>M5 Hexnut</t>
        </is>
      </c>
      <c r="D9" s="7" t="n">
        <v>16</v>
      </c>
      <c r="E9" s="8" t="inlineStr">
        <is>
          <t>⚡ Buy All Now</t>
        </is>
      </c>
      <c r="F9" s="6" t="inlineStr">
        <is>
          <t>Frame assembly</t>
        </is>
      </c>
      <c r="G9" s="7" t="inlineStr"/>
      <c r="H9" s="9">
        <f>IF(ISNUMBER(G9),D9*G9,"")</f>
        <v/>
      </c>
      <c r="I9" s="5" t="inlineStr">
        <is>
          <t>Research</t>
        </is>
      </c>
      <c r="J9" s="6" t="inlineStr"/>
      <c r="K9" s="5" t="inlineStr"/>
      <c r="L9" s="5" t="inlineStr"/>
      <c r="M9" s="5" t="inlineStr"/>
      <c r="N9" s="7" t="inlineStr">
        <is>
          <t>☐</t>
        </is>
      </c>
    </row>
    <row r="10" ht="18" customHeight="1">
      <c r="A10" s="5" t="inlineStr">
        <is>
          <t>1 – Frame</t>
        </is>
      </c>
      <c r="B10" s="5" t="inlineStr">
        <is>
          <t>Fasteners</t>
        </is>
      </c>
      <c r="C10" s="6" t="inlineStr">
        <is>
          <t>M5 Post-install T-nut</t>
        </is>
      </c>
      <c r="D10" s="7" t="n">
        <v>68</v>
      </c>
      <c r="E10" s="8" t="inlineStr">
        <is>
          <t>⚡ Buy All Now</t>
        </is>
      </c>
      <c r="F10" s="6" t="inlineStr">
        <is>
          <t>Used throughout entire build</t>
        </is>
      </c>
      <c r="G10" s="7" t="inlineStr"/>
      <c r="H10" s="9">
        <f>IF(ISNUMBER(G10),D10*G10,"")</f>
        <v/>
      </c>
      <c r="I10" s="5" t="inlineStr">
        <is>
          <t>Research</t>
        </is>
      </c>
      <c r="J10" s="6" t="inlineStr"/>
      <c r="K10" s="5" t="inlineStr"/>
      <c r="L10" s="5" t="inlineStr"/>
      <c r="M10" s="5" t="inlineStr"/>
      <c r="N10" s="7" t="inlineStr">
        <is>
          <t>☐</t>
        </is>
      </c>
    </row>
    <row r="11" ht="18" customHeight="1">
      <c r="A11" s="5" t="inlineStr">
        <is>
          <t>1 – Frame</t>
        </is>
      </c>
      <c r="B11" s="5" t="inlineStr">
        <is>
          <t>Fasteners</t>
        </is>
      </c>
      <c r="C11" s="6" t="inlineStr">
        <is>
          <t>M3 Post-install T-nut</t>
        </is>
      </c>
      <c r="D11" s="7" t="n">
        <v>96</v>
      </c>
      <c r="E11" s="8" t="inlineStr">
        <is>
          <t>⚡ Buy All Now</t>
        </is>
      </c>
      <c r="F11" s="6" t="inlineStr">
        <is>
          <t>Used throughout entire build</t>
        </is>
      </c>
      <c r="G11" s="7" t="inlineStr"/>
      <c r="H11" s="9">
        <f>IF(ISNUMBER(G11),D11*G11,"")</f>
        <v/>
      </c>
      <c r="I11" s="5" t="inlineStr">
        <is>
          <t>Research</t>
        </is>
      </c>
      <c r="J11" s="6" t="inlineStr"/>
      <c r="K11" s="5" t="inlineStr"/>
      <c r="L11" s="5" t="inlineStr"/>
      <c r="M11" s="5" t="inlineStr"/>
      <c r="N11" s="7" t="inlineStr">
        <is>
          <t>☐</t>
        </is>
      </c>
    </row>
    <row r="12" ht="18" customHeight="1">
      <c r="A12" s="5" t="inlineStr">
        <is>
          <t>1 – Frame</t>
        </is>
      </c>
      <c r="B12" s="5" t="inlineStr">
        <is>
          <t>Fasteners</t>
        </is>
      </c>
      <c r="C12" s="6" t="inlineStr">
        <is>
          <t>M3 Hammer Head T-nuts</t>
        </is>
      </c>
      <c r="D12" s="7" t="n">
        <v>60</v>
      </c>
      <c r="E12" s="8" t="inlineStr">
        <is>
          <t>⚡ Buy All Now</t>
        </is>
      </c>
      <c r="F12" s="6" t="inlineStr">
        <is>
          <t>Used throughout entire build</t>
        </is>
      </c>
      <c r="G12" s="7" t="inlineStr"/>
      <c r="H12" s="9">
        <f>IF(ISNUMBER(G12),D12*G12,"")</f>
        <v/>
      </c>
      <c r="I12" s="5" t="inlineStr">
        <is>
          <t>Research</t>
        </is>
      </c>
      <c r="J12" s="6" t="inlineStr"/>
      <c r="K12" s="5" t="inlineStr"/>
      <c r="L12" s="5" t="inlineStr"/>
      <c r="M12" s="5" t="inlineStr"/>
      <c r="N12" s="7" t="inlineStr">
        <is>
          <t>☐</t>
        </is>
      </c>
    </row>
    <row r="13" ht="18" customHeight="1">
      <c r="A13" s="5" t="inlineStr">
        <is>
          <t>1 – Frame</t>
        </is>
      </c>
      <c r="B13" s="5" t="inlineStr">
        <is>
          <t>Fasteners</t>
        </is>
      </c>
      <c r="C13" s="6" t="inlineStr">
        <is>
          <t>M3 Threaded Insert (M3x5x4)</t>
        </is>
      </c>
      <c r="D13" s="7" t="n">
        <v>110</v>
      </c>
      <c r="E13" s="8" t="inlineStr">
        <is>
          <t>⚡ Buy All Now</t>
        </is>
      </c>
      <c r="F13" s="6" t="inlineStr">
        <is>
          <t>Install in all printed parts before assembly begins</t>
        </is>
      </c>
      <c r="G13" s="7" t="inlineStr"/>
      <c r="H13" s="9">
        <f>IF(ISNUMBER(G13),D13*G13,"")</f>
        <v/>
      </c>
      <c r="I13" s="5" t="inlineStr">
        <is>
          <t>Research</t>
        </is>
      </c>
      <c r="J13" s="6" t="inlineStr"/>
      <c r="K13" s="5" t="inlineStr"/>
      <c r="L13" s="5" t="inlineStr"/>
      <c r="M13" s="5" t="inlineStr"/>
      <c r="N13" s="7" t="inlineStr">
        <is>
          <t>☐</t>
        </is>
      </c>
    </row>
    <row r="14" ht="18" customHeight="1">
      <c r="A14" s="10" t="inlineStr">
        <is>
          <t>1 – Frame</t>
        </is>
      </c>
      <c r="B14" s="10" t="inlineStr">
        <is>
          <t>Vibration Management</t>
        </is>
      </c>
      <c r="C14" s="11" t="inlineStr">
        <is>
          <t>Rubber Foot (1.5x.75", 38x19mm)</t>
        </is>
      </c>
      <c r="D14" s="12" t="n">
        <v>4</v>
      </c>
      <c r="E14" s="13" t="inlineStr">
        <is>
          <t>Buy when needed</t>
        </is>
      </c>
      <c r="F14" s="11" t="inlineStr">
        <is>
          <t>Attach to bottom frame during frame assembly</t>
        </is>
      </c>
      <c r="G14" s="12" t="inlineStr"/>
      <c r="H14" s="14">
        <f>IF(ISNUMBER(G14),D14*G14,"")</f>
        <v/>
      </c>
      <c r="I14" s="5" t="inlineStr">
        <is>
          <t>Research</t>
        </is>
      </c>
      <c r="J14" s="11" t="inlineStr"/>
      <c r="K14" s="10" t="inlineStr"/>
      <c r="L14" s="10" t="inlineStr"/>
      <c r="M14" s="10" t="inlineStr"/>
      <c r="N14" s="12" t="inlineStr">
        <is>
          <t>☐</t>
        </is>
      </c>
    </row>
    <row r="15" ht="18" customHeight="1">
      <c r="A15" s="15" t="inlineStr">
        <is>
          <t>1 – Frame</t>
        </is>
      </c>
      <c r="B15" s="15" t="inlineStr">
        <is>
          <t>Frame</t>
        </is>
      </c>
      <c r="C15" s="16" t="inlineStr">
        <is>
          <t>OpenBuilds Billet Angle Corner Connector (2020)</t>
        </is>
      </c>
      <c r="D15" s="17" t="n">
        <v>4</v>
      </c>
      <c r="E15" s="18" t="inlineStr">
        <is>
          <t>Buy when needed</t>
        </is>
      </c>
      <c r="F15" s="16" t="inlineStr">
        <is>
          <t>Frame corner braces</t>
        </is>
      </c>
      <c r="G15" s="17" t="inlineStr"/>
      <c r="H15" s="19">
        <f>IF(ISNUMBER(G15),D15*G15,"")</f>
        <v/>
      </c>
      <c r="I15" s="5" t="inlineStr">
        <is>
          <t>Research</t>
        </is>
      </c>
      <c r="J15" s="16" t="inlineStr"/>
      <c r="K15" s="15" t="inlineStr"/>
      <c r="L15" s="15" t="inlineStr"/>
      <c r="M15" s="15" t="inlineStr"/>
      <c r="N15" s="17" t="inlineStr">
        <is>
          <t>☐</t>
        </is>
      </c>
    </row>
    <row r="16" ht="18" customHeight="1">
      <c r="A16" s="10" t="inlineStr">
        <is>
          <t>1 – Frame</t>
        </is>
      </c>
      <c r="B16" s="10" t="inlineStr">
        <is>
          <t>Frame</t>
        </is>
      </c>
      <c r="C16" s="11" t="inlineStr">
        <is>
          <t>Misumi HFSB5-2020-290</t>
        </is>
      </c>
      <c r="D16" s="12" t="n">
        <v>1</v>
      </c>
      <c r="E16" s="13" t="inlineStr">
        <is>
          <t>Buy when needed</t>
        </is>
      </c>
      <c r="F16" s="11" t="inlineStr">
        <is>
          <t>Frame extrusion</t>
        </is>
      </c>
      <c r="G16" s="12" t="inlineStr"/>
      <c r="H16" s="14">
        <f>IF(ISNUMBER(G16),D16*G16,"")</f>
        <v/>
      </c>
      <c r="I16" s="5" t="inlineStr">
        <is>
          <t>Research</t>
        </is>
      </c>
      <c r="J16" s="11" t="inlineStr"/>
      <c r="K16" s="10" t="inlineStr"/>
      <c r="L16" s="10" t="inlineStr"/>
      <c r="M16" s="10" t="inlineStr"/>
      <c r="N16" s="12" t="inlineStr">
        <is>
          <t>☐</t>
        </is>
      </c>
    </row>
    <row r="17" ht="18" customHeight="1">
      <c r="A17" s="15" t="inlineStr">
        <is>
          <t>1 – Frame</t>
        </is>
      </c>
      <c r="B17" s="15" t="inlineStr">
        <is>
          <t>Frame</t>
        </is>
      </c>
      <c r="C17" s="16" t="inlineStr">
        <is>
          <t>Misumi HFSB5-2020-380</t>
        </is>
      </c>
      <c r="D17" s="17" t="n">
        <v>1</v>
      </c>
      <c r="E17" s="18" t="inlineStr">
        <is>
          <t>Buy when needed</t>
        </is>
      </c>
      <c r="F17" s="16" t="inlineStr">
        <is>
          <t>Frame extrusion</t>
        </is>
      </c>
      <c r="G17" s="17" t="inlineStr"/>
      <c r="H17" s="19">
        <f>IF(ISNUMBER(G17),D17*G17,"")</f>
        <v/>
      </c>
      <c r="I17" s="5" t="inlineStr">
        <is>
          <t>Research</t>
        </is>
      </c>
      <c r="J17" s="16" t="inlineStr"/>
      <c r="K17" s="15" t="inlineStr"/>
      <c r="L17" s="15" t="inlineStr"/>
      <c r="M17" s="15" t="inlineStr"/>
      <c r="N17" s="17" t="inlineStr">
        <is>
          <t>☐</t>
        </is>
      </c>
    </row>
    <row r="18" ht="18" customHeight="1">
      <c r="A18" s="10" t="inlineStr">
        <is>
          <t>1 – Frame</t>
        </is>
      </c>
      <c r="B18" s="10" t="inlineStr">
        <is>
          <t>Frame</t>
        </is>
      </c>
      <c r="C18" s="11" t="inlineStr">
        <is>
          <t>Misumi HFSB5-2020-400</t>
        </is>
      </c>
      <c r="D18" s="12" t="n">
        <v>2</v>
      </c>
      <c r="E18" s="13" t="inlineStr">
        <is>
          <t>Buy when needed</t>
        </is>
      </c>
      <c r="F18" s="11" t="inlineStr">
        <is>
          <t>Frame extrusion</t>
        </is>
      </c>
      <c r="G18" s="12" t="inlineStr"/>
      <c r="H18" s="14">
        <f>IF(ISNUMBER(G18),D18*G18,"")</f>
        <v/>
      </c>
      <c r="I18" s="5" t="inlineStr">
        <is>
          <t>Research</t>
        </is>
      </c>
      <c r="J18" s="11" t="inlineStr"/>
      <c r="K18" s="10" t="inlineStr"/>
      <c r="L18" s="10" t="inlineStr"/>
      <c r="M18" s="10" t="inlineStr"/>
      <c r="N18" s="12" t="inlineStr">
        <is>
          <t>☐</t>
        </is>
      </c>
    </row>
    <row r="19" ht="18" customHeight="1">
      <c r="A19" s="15" t="inlineStr">
        <is>
          <t>1 – Frame</t>
        </is>
      </c>
      <c r="B19" s="15" t="inlineStr">
        <is>
          <t>Frame</t>
        </is>
      </c>
      <c r="C19" s="16" t="inlineStr">
        <is>
          <t>Misumi HFSB5-2020-420-TPW</t>
        </is>
      </c>
      <c r="D19" s="17" t="n">
        <v>10</v>
      </c>
      <c r="E19" s="18" t="inlineStr">
        <is>
          <t>Buy when needed</t>
        </is>
      </c>
      <c r="F19" s="16" t="inlineStr">
        <is>
          <t>Frame extrusion</t>
        </is>
      </c>
      <c r="G19" s="17" t="inlineStr"/>
      <c r="H19" s="19">
        <f>IF(ISNUMBER(G19),D19*G19,"")</f>
        <v/>
      </c>
      <c r="I19" s="5" t="inlineStr">
        <is>
          <t>Research</t>
        </is>
      </c>
      <c r="J19" s="16" t="inlineStr"/>
      <c r="K19" s="15" t="inlineStr"/>
      <c r="L19" s="15" t="inlineStr"/>
      <c r="M19" s="15" t="inlineStr"/>
      <c r="N19" s="17" t="inlineStr">
        <is>
          <t>☐</t>
        </is>
      </c>
    </row>
    <row r="20" ht="18" customHeight="1">
      <c r="A20" s="10" t="inlineStr">
        <is>
          <t>1 – Frame</t>
        </is>
      </c>
      <c r="B20" s="10" t="inlineStr">
        <is>
          <t>Frame</t>
        </is>
      </c>
      <c r="C20" s="11" t="inlineStr">
        <is>
          <t>Misumi HFSB5-2020-480-LCP-RCP</t>
        </is>
      </c>
      <c r="D20" s="12" t="n">
        <v>4</v>
      </c>
      <c r="E20" s="13" t="inlineStr">
        <is>
          <t>Buy when needed</t>
        </is>
      </c>
      <c r="F20" s="11" t="inlineStr">
        <is>
          <t>Frame extrusion</t>
        </is>
      </c>
      <c r="G20" s="12" t="inlineStr"/>
      <c r="H20" s="14">
        <f>IF(ISNUMBER(G20),D20*G20,"")</f>
        <v/>
      </c>
      <c r="I20" s="5" t="inlineStr">
        <is>
          <t>Research</t>
        </is>
      </c>
      <c r="J20" s="11" t="inlineStr"/>
      <c r="K20" s="10" t="inlineStr"/>
      <c r="L20" s="10" t="inlineStr"/>
      <c r="M20" s="10" t="inlineStr"/>
      <c r="N20" s="12" t="inlineStr">
        <is>
          <t>☐</t>
        </is>
      </c>
    </row>
    <row r="21" ht="18" customHeight="1">
      <c r="A21" s="5" t="inlineStr">
        <is>
          <t>1 – Frame</t>
        </is>
      </c>
      <c r="B21" s="5" t="inlineStr">
        <is>
          <t>Misc</t>
        </is>
      </c>
      <c r="C21" s="6" t="inlineStr">
        <is>
          <t>Loctite Blue Threadlocker Stick</t>
        </is>
      </c>
      <c r="D21" s="7" t="n">
        <v>1</v>
      </c>
      <c r="E21" s="8" t="inlineStr">
        <is>
          <t>⚡ Buy All Now</t>
        </is>
      </c>
      <c r="F21" s="6" t="inlineStr">
        <is>
          <t>Use throughout — buy at start</t>
        </is>
      </c>
      <c r="G21" s="7" t="inlineStr"/>
      <c r="H21" s="9">
        <f>IF(ISNUMBER(G21),D21*G21,"")</f>
        <v/>
      </c>
      <c r="I21" s="5" t="inlineStr">
        <is>
          <t>Research</t>
        </is>
      </c>
      <c r="J21" s="6" t="inlineStr"/>
      <c r="K21" s="5" t="inlineStr"/>
      <c r="L21" s="5" t="inlineStr"/>
      <c r="M21" s="5" t="inlineStr"/>
      <c r="N21" s="7" t="inlineStr">
        <is>
          <t>☐</t>
        </is>
      </c>
    </row>
    <row r="22" ht="20" customHeight="1">
      <c r="A22" s="4" t="inlineStr">
        <is>
          <t xml:space="preserve">  ▶  2 – Z DRIVE ASSEMBLY  —  Buy these parts before this assembly step</t>
        </is>
      </c>
    </row>
    <row r="23" ht="18" customHeight="1">
      <c r="A23" s="5" t="inlineStr">
        <is>
          <t>2 – Z Drive Assembly</t>
        </is>
      </c>
      <c r="B23" s="5" t="inlineStr">
        <is>
          <t>Fasteners</t>
        </is>
      </c>
      <c r="C23" s="6" t="inlineStr">
        <is>
          <t>M3x40 SHCS</t>
        </is>
      </c>
      <c r="D23" s="7" t="n">
        <v>30</v>
      </c>
      <c r="E23" s="8" t="inlineStr">
        <is>
          <t>⚡ Buy All Now</t>
        </is>
      </c>
      <c r="F23" s="6" t="inlineStr">
        <is>
          <t>Z motor mounts — used throughout</t>
        </is>
      </c>
      <c r="G23" s="7" t="inlineStr"/>
      <c r="H23" s="9">
        <f>IF(ISNUMBER(G23),D23*G23,"")</f>
        <v/>
      </c>
      <c r="I23" s="5" t="inlineStr">
        <is>
          <t>Research</t>
        </is>
      </c>
      <c r="J23" s="6" t="inlineStr"/>
      <c r="K23" s="5" t="inlineStr"/>
      <c r="L23" s="5" t="inlineStr"/>
      <c r="M23" s="5" t="inlineStr"/>
      <c r="N23" s="7" t="inlineStr">
        <is>
          <t>☐</t>
        </is>
      </c>
    </row>
    <row r="24" ht="18" customHeight="1">
      <c r="A24" s="5" t="inlineStr">
        <is>
          <t>2 – Z Drive Assembly</t>
        </is>
      </c>
      <c r="B24" s="5" t="inlineStr">
        <is>
          <t>Fasteners</t>
        </is>
      </c>
      <c r="C24" s="6" t="inlineStr">
        <is>
          <t>M3x30 SHCS</t>
        </is>
      </c>
      <c r="D24" s="7" t="n">
        <v>25</v>
      </c>
      <c r="E24" s="8" t="inlineStr">
        <is>
          <t>⚡ Buy All Now</t>
        </is>
      </c>
      <c r="F24" s="6" t="inlineStr">
        <is>
          <t>Z drive — used throughout</t>
        </is>
      </c>
      <c r="G24" s="7" t="inlineStr"/>
      <c r="H24" s="9">
        <f>IF(ISNUMBER(G24),D24*G24,"")</f>
        <v/>
      </c>
      <c r="I24" s="5" t="inlineStr">
        <is>
          <t>Research</t>
        </is>
      </c>
      <c r="J24" s="6" t="inlineStr"/>
      <c r="K24" s="5" t="inlineStr"/>
      <c r="L24" s="5" t="inlineStr"/>
      <c r="M24" s="5" t="inlineStr"/>
      <c r="N24" s="7" t="inlineStr">
        <is>
          <t>☐</t>
        </is>
      </c>
    </row>
    <row r="25" ht="18" customHeight="1">
      <c r="A25" s="5" t="inlineStr">
        <is>
          <t>2 – Z Drive Assembly</t>
        </is>
      </c>
      <c r="B25" s="5" t="inlineStr">
        <is>
          <t>Fasteners</t>
        </is>
      </c>
      <c r="C25" s="6" t="inlineStr">
        <is>
          <t>M3x20 SHCS</t>
        </is>
      </c>
      <c r="D25" s="7" t="n">
        <v>22</v>
      </c>
      <c r="E25" s="8" t="inlineStr">
        <is>
          <t>⚡ Buy All Now</t>
        </is>
      </c>
      <c r="F25" s="6" t="inlineStr">
        <is>
          <t>Z drive — used throughout</t>
        </is>
      </c>
      <c r="G25" s="7" t="inlineStr"/>
      <c r="H25" s="9">
        <f>IF(ISNUMBER(G25),D25*G25,"")</f>
        <v/>
      </c>
      <c r="I25" s="5" t="inlineStr">
        <is>
          <t>Research</t>
        </is>
      </c>
      <c r="J25" s="6" t="inlineStr"/>
      <c r="K25" s="5" t="inlineStr"/>
      <c r="L25" s="5" t="inlineStr"/>
      <c r="M25" s="5" t="inlineStr"/>
      <c r="N25" s="7" t="inlineStr">
        <is>
          <t>☐</t>
        </is>
      </c>
    </row>
    <row r="26" ht="18" customHeight="1">
      <c r="A26" s="5" t="inlineStr">
        <is>
          <t>2 – Z Drive Assembly</t>
        </is>
      </c>
      <c r="B26" s="5" t="inlineStr">
        <is>
          <t>Fasteners</t>
        </is>
      </c>
      <c r="C26" s="6" t="inlineStr">
        <is>
          <t>M3x16 SHCS</t>
        </is>
      </c>
      <c r="D26" s="7" t="n">
        <v>20</v>
      </c>
      <c r="E26" s="8" t="inlineStr">
        <is>
          <t>⚡ Buy All Now</t>
        </is>
      </c>
      <c r="F26" s="6" t="inlineStr">
        <is>
          <t>Z drive — used throughout</t>
        </is>
      </c>
      <c r="G26" s="7" t="inlineStr"/>
      <c r="H26" s="9">
        <f>IF(ISNUMBER(G26),D26*G26,"")</f>
        <v/>
      </c>
      <c r="I26" s="5" t="inlineStr">
        <is>
          <t>Research</t>
        </is>
      </c>
      <c r="J26" s="6" t="inlineStr"/>
      <c r="K26" s="5" t="inlineStr"/>
      <c r="L26" s="5" t="inlineStr"/>
      <c r="M26" s="5" t="inlineStr"/>
      <c r="N26" s="7" t="inlineStr">
        <is>
          <t>☐</t>
        </is>
      </c>
    </row>
    <row r="27" ht="18" customHeight="1">
      <c r="A27" s="5" t="inlineStr">
        <is>
          <t>2 – Z Drive Assembly</t>
        </is>
      </c>
      <c r="B27" s="5" t="inlineStr">
        <is>
          <t>Fasteners</t>
        </is>
      </c>
      <c r="C27" s="6" t="inlineStr">
        <is>
          <t>M3x8 SHCS</t>
        </is>
      </c>
      <c r="D27" s="7" t="n">
        <v>180</v>
      </c>
      <c r="E27" s="8" t="inlineStr">
        <is>
          <t>⚡ Buy All Now</t>
        </is>
      </c>
      <c r="F27" s="6" t="inlineStr">
        <is>
          <t>Most common screw — buy all upfront</t>
        </is>
      </c>
      <c r="G27" s="7" t="inlineStr"/>
      <c r="H27" s="9">
        <f>IF(ISNUMBER(G27),D27*G27,"")</f>
        <v/>
      </c>
      <c r="I27" s="5" t="inlineStr">
        <is>
          <t>Research</t>
        </is>
      </c>
      <c r="J27" s="6" t="inlineStr"/>
      <c r="K27" s="5" t="inlineStr"/>
      <c r="L27" s="5" t="inlineStr"/>
      <c r="M27" s="5" t="inlineStr"/>
      <c r="N27" s="7" t="inlineStr">
        <is>
          <t>☐</t>
        </is>
      </c>
    </row>
    <row r="28" ht="18" customHeight="1">
      <c r="A28" s="5" t="inlineStr">
        <is>
          <t>2 – Z Drive Assembly</t>
        </is>
      </c>
      <c r="B28" s="5" t="inlineStr">
        <is>
          <t>Fasteners</t>
        </is>
      </c>
      <c r="C28" s="6" t="inlineStr">
        <is>
          <t>M3 Hexnut</t>
        </is>
      </c>
      <c r="D28" s="7" t="n">
        <v>6</v>
      </c>
      <c r="E28" s="8" t="inlineStr">
        <is>
          <t>⚡ Buy All Now</t>
        </is>
      </c>
      <c r="F28" s="6" t="inlineStr">
        <is>
          <t>Z endstop &amp; throughout</t>
        </is>
      </c>
      <c r="G28" s="7" t="inlineStr"/>
      <c r="H28" s="9">
        <f>IF(ISNUMBER(G28),D28*G28,"")</f>
        <v/>
      </c>
      <c r="I28" s="5" t="inlineStr">
        <is>
          <t>Research</t>
        </is>
      </c>
      <c r="J28" s="6" t="inlineStr"/>
      <c r="K28" s="5" t="inlineStr"/>
      <c r="L28" s="5" t="inlineStr"/>
      <c r="M28" s="5" t="inlineStr"/>
      <c r="N28" s="7" t="inlineStr">
        <is>
          <t>☐</t>
        </is>
      </c>
    </row>
    <row r="29" ht="18" customHeight="1">
      <c r="A29" s="5" t="inlineStr">
        <is>
          <t>2 – Z Drive Assembly</t>
        </is>
      </c>
      <c r="B29" s="5" t="inlineStr">
        <is>
          <t>Fasteners</t>
        </is>
      </c>
      <c r="C29" s="6" t="inlineStr">
        <is>
          <t>M3 Washer</t>
        </is>
      </c>
      <c r="D29" s="7" t="n">
        <v>4</v>
      </c>
      <c r="E29" s="8" t="inlineStr">
        <is>
          <t>⚡ Buy All Now</t>
        </is>
      </c>
      <c r="F29" s="6" t="inlineStr">
        <is>
          <t>Z drive assembly</t>
        </is>
      </c>
      <c r="G29" s="7" t="inlineStr"/>
      <c r="H29" s="9">
        <f>IF(ISNUMBER(G29),D29*G29,"")</f>
        <v/>
      </c>
      <c r="I29" s="5" t="inlineStr">
        <is>
          <t>Research</t>
        </is>
      </c>
      <c r="J29" s="6" t="inlineStr"/>
      <c r="K29" s="5" t="inlineStr"/>
      <c r="L29" s="5" t="inlineStr"/>
      <c r="M29" s="5" t="inlineStr"/>
      <c r="N29" s="7" t="inlineStr">
        <is>
          <t>☐</t>
        </is>
      </c>
    </row>
    <row r="30" ht="18" customHeight="1">
      <c r="A30" s="10" t="inlineStr">
        <is>
          <t>2 – Z Drive Assembly</t>
        </is>
      </c>
      <c r="B30" s="10" t="inlineStr">
        <is>
          <t>Motion</t>
        </is>
      </c>
      <c r="C30" s="11" t="inlineStr">
        <is>
          <t>GT2 80T Pulley (5mm ID 6mm W)</t>
        </is>
      </c>
      <c r="D30" s="12" t="n">
        <v>4</v>
      </c>
      <c r="E30" s="13" t="inlineStr">
        <is>
          <t>Buy when needed</t>
        </is>
      </c>
      <c r="F30" s="11" t="inlineStr">
        <is>
          <t>Z drive belt loops × 4</t>
        </is>
      </c>
      <c r="G30" s="12" t="inlineStr"/>
      <c r="H30" s="14">
        <f>IF(ISNUMBER(G30),D30*G30,"")</f>
        <v/>
      </c>
      <c r="I30" s="5" t="inlineStr">
        <is>
          <t>Research</t>
        </is>
      </c>
      <c r="J30" s="11" t="inlineStr"/>
      <c r="K30" s="10" t="inlineStr"/>
      <c r="L30" s="10" t="inlineStr"/>
      <c r="M30" s="10" t="inlineStr"/>
      <c r="N30" s="12" t="inlineStr">
        <is>
          <t>☐</t>
        </is>
      </c>
    </row>
    <row r="31" ht="18" customHeight="1">
      <c r="A31" s="5" t="inlineStr">
        <is>
          <t>2 – Z Drive Assembly</t>
        </is>
      </c>
      <c r="B31" s="5" t="inlineStr">
        <is>
          <t>Motion</t>
        </is>
      </c>
      <c r="C31" s="6" t="inlineStr">
        <is>
          <t>F695 Bearing</t>
        </is>
      </c>
      <c r="D31" s="7" t="n">
        <v>20</v>
      </c>
      <c r="E31" s="8" t="inlineStr">
        <is>
          <t>⚡ Buy All Now</t>
        </is>
      </c>
      <c r="F31" s="6" t="inlineStr">
        <is>
          <t>Z &amp; XY idler bearings — buy all, used throughout</t>
        </is>
      </c>
      <c r="G31" s="7" t="inlineStr"/>
      <c r="H31" s="9">
        <f>IF(ISNUMBER(G31),D31*G31,"")</f>
        <v/>
      </c>
      <c r="I31" s="5" t="inlineStr">
        <is>
          <t>Research</t>
        </is>
      </c>
      <c r="J31" s="6" t="inlineStr"/>
      <c r="K31" s="5" t="inlineStr"/>
      <c r="L31" s="5" t="inlineStr"/>
      <c r="M31" s="5" t="inlineStr"/>
      <c r="N31" s="7" t="inlineStr">
        <is>
          <t>☐</t>
        </is>
      </c>
    </row>
    <row r="32" ht="18" customHeight="1">
      <c r="A32" s="5" t="inlineStr">
        <is>
          <t>2 – Z Drive Assembly</t>
        </is>
      </c>
      <c r="B32" s="5" t="inlineStr">
        <is>
          <t>Motion</t>
        </is>
      </c>
      <c r="C32" s="6" t="inlineStr">
        <is>
          <t>625 Bearing</t>
        </is>
      </c>
      <c r="D32" s="7" t="n">
        <v>12</v>
      </c>
      <c r="E32" s="8" t="inlineStr">
        <is>
          <t>⚡ Buy All Now</t>
        </is>
      </c>
      <c r="F32" s="6" t="inlineStr">
        <is>
          <t>Z idler bearings — buy all</t>
        </is>
      </c>
      <c r="G32" s="7" t="inlineStr"/>
      <c r="H32" s="9">
        <f>IF(ISNUMBER(G32),D32*G32,"")</f>
        <v/>
      </c>
      <c r="I32" s="5" t="inlineStr">
        <is>
          <t>Research</t>
        </is>
      </c>
      <c r="J32" s="6" t="inlineStr"/>
      <c r="K32" s="5" t="inlineStr"/>
      <c r="L32" s="5" t="inlineStr"/>
      <c r="M32" s="5" t="inlineStr"/>
      <c r="N32" s="7" t="inlineStr">
        <is>
          <t>☐</t>
        </is>
      </c>
    </row>
    <row r="33" ht="18" customHeight="1">
      <c r="A33" s="15" t="inlineStr">
        <is>
          <t>2 – Z Drive Assembly</t>
        </is>
      </c>
      <c r="B33" s="15" t="inlineStr">
        <is>
          <t>Motion</t>
        </is>
      </c>
      <c r="C33" s="16" t="inlineStr">
        <is>
          <t>GT2 Belt Loop (6mm W) - 188mm</t>
        </is>
      </c>
      <c r="D33" s="17" t="n">
        <v>4</v>
      </c>
      <c r="E33" s="18" t="inlineStr">
        <is>
          <t>Buy when needed</t>
        </is>
      </c>
      <c r="F33" s="16" t="inlineStr">
        <is>
          <t>Z drive belt loops × 4</t>
        </is>
      </c>
      <c r="G33" s="17" t="inlineStr"/>
      <c r="H33" s="19">
        <f>IF(ISNUMBER(G33),D33*G33,"")</f>
        <v/>
      </c>
      <c r="I33" s="5" t="inlineStr">
        <is>
          <t>Research</t>
        </is>
      </c>
      <c r="J33" s="16" t="inlineStr"/>
      <c r="K33" s="15" t="inlineStr"/>
      <c r="L33" s="15" t="inlineStr"/>
      <c r="M33" s="15" t="inlineStr"/>
      <c r="N33" s="17" t="inlineStr">
        <is>
          <t>☐</t>
        </is>
      </c>
    </row>
    <row r="34" ht="18" customHeight="1">
      <c r="A34" s="10" t="inlineStr">
        <is>
          <t>2 – Z Drive Assembly</t>
        </is>
      </c>
      <c r="B34" s="10" t="inlineStr">
        <is>
          <t>Motion</t>
        </is>
      </c>
      <c r="C34" s="11" t="inlineStr">
        <is>
          <t>Linear Rail MGN9H 350mm</t>
        </is>
      </c>
      <c r="D34" s="12" t="n">
        <v>6</v>
      </c>
      <c r="E34" s="13" t="inlineStr">
        <is>
          <t>Buy when needed</t>
        </is>
      </c>
      <c r="F34" s="11" t="inlineStr">
        <is>
          <t>Z axis rails × 6 — install before Z drives go in</t>
        </is>
      </c>
      <c r="G34" s="12" t="inlineStr"/>
      <c r="H34" s="14">
        <f>IF(ISNUMBER(G34),D34*G34,"")</f>
        <v/>
      </c>
      <c r="I34" s="5" t="inlineStr">
        <is>
          <t>Research</t>
        </is>
      </c>
      <c r="J34" s="11" t="inlineStr"/>
      <c r="K34" s="10" t="inlineStr"/>
      <c r="L34" s="10" t="inlineStr"/>
      <c r="M34" s="10" t="inlineStr"/>
      <c r="N34" s="12" t="inlineStr">
        <is>
          <t>☐</t>
        </is>
      </c>
    </row>
    <row r="35" ht="18" customHeight="1">
      <c r="A35" s="5" t="inlineStr">
        <is>
          <t>2 – Z Drive Assembly</t>
        </is>
      </c>
      <c r="B35" s="5" t="inlineStr">
        <is>
          <t>Electronics</t>
        </is>
      </c>
      <c r="C35" s="6" t="inlineStr">
        <is>
          <t>NEMA17 Motor 17HS19-2004S</t>
        </is>
      </c>
      <c r="D35" s="7" t="n">
        <v>6</v>
      </c>
      <c r="E35" s="8" t="inlineStr">
        <is>
          <t>⚡ Buy All Now</t>
        </is>
      </c>
      <c r="F35" s="6" t="inlineStr">
        <is>
          <t>Z motors × 4 + A/B motors × 2 — buy all 6</t>
        </is>
      </c>
      <c r="G35" s="7" t="inlineStr"/>
      <c r="H35" s="9">
        <f>IF(ISNUMBER(G35),D35*G35,"")</f>
        <v/>
      </c>
      <c r="I35" s="5" t="inlineStr">
        <is>
          <t>Research</t>
        </is>
      </c>
      <c r="J35" s="6" t="inlineStr"/>
      <c r="K35" s="5" t="inlineStr"/>
      <c r="L35" s="5" t="inlineStr"/>
      <c r="M35" s="5" t="inlineStr"/>
      <c r="N35" s="7" t="inlineStr">
        <is>
          <t>☐</t>
        </is>
      </c>
    </row>
    <row r="36" ht="18" customHeight="1">
      <c r="A36" s="5" t="inlineStr">
        <is>
          <t>2 – Z Drive Assembly</t>
        </is>
      </c>
      <c r="B36" s="5" t="inlineStr">
        <is>
          <t>Misc</t>
        </is>
      </c>
      <c r="C36" s="6" t="inlineStr">
        <is>
          <t>Mobil EP1/2 Grease</t>
        </is>
      </c>
      <c r="D36" s="7" t="n">
        <v>1</v>
      </c>
      <c r="E36" s="8" t="inlineStr">
        <is>
          <t>⚡ Buy All Now</t>
        </is>
      </c>
      <c r="F36" s="6" t="inlineStr">
        <is>
          <t>Linear rail lubrication — buy at start</t>
        </is>
      </c>
      <c r="G36" s="7" t="inlineStr"/>
      <c r="H36" s="9">
        <f>IF(ISNUMBER(G36),D36*G36,"")</f>
        <v/>
      </c>
      <c r="I36" s="5" t="inlineStr">
        <is>
          <t>Research</t>
        </is>
      </c>
      <c r="J36" s="6" t="inlineStr"/>
      <c r="K36" s="5" t="inlineStr"/>
      <c r="L36" s="5" t="inlineStr"/>
      <c r="M36" s="5" t="inlineStr"/>
      <c r="N36" s="7" t="inlineStr">
        <is>
          <t>☐</t>
        </is>
      </c>
    </row>
    <row r="37" ht="20" customHeight="1">
      <c r="A37" s="4" t="inlineStr">
        <is>
          <t xml:space="preserve">  ▶  3 – AB DRIVE MODULES  —  Buy these parts before this assembly step</t>
        </is>
      </c>
    </row>
    <row r="38" ht="18" customHeight="1">
      <c r="A38" s="5" t="inlineStr">
        <is>
          <t>3 – AB Drive Modules</t>
        </is>
      </c>
      <c r="B38" s="5" t="inlineStr">
        <is>
          <t>Fasteners</t>
        </is>
      </c>
      <c r="C38" s="6" t="inlineStr">
        <is>
          <t>M5 1mm Shim</t>
        </is>
      </c>
      <c r="D38" s="7" t="n">
        <v>42</v>
      </c>
      <c r="E38" s="8" t="inlineStr">
        <is>
          <t>⚡ Buy All Now</t>
        </is>
      </c>
      <c r="F38" s="6" t="inlineStr">
        <is>
          <t>AB drives &amp; idlers</t>
        </is>
      </c>
      <c r="G38" s="7" t="inlineStr"/>
      <c r="H38" s="9">
        <f>IF(ISNUMBER(G38),D38*G38,"")</f>
        <v/>
      </c>
      <c r="I38" s="5" t="inlineStr">
        <is>
          <t>Research</t>
        </is>
      </c>
      <c r="J38" s="6" t="inlineStr"/>
      <c r="K38" s="5" t="inlineStr"/>
      <c r="L38" s="5" t="inlineStr"/>
      <c r="M38" s="5" t="inlineStr"/>
      <c r="N38" s="7" t="inlineStr">
        <is>
          <t>☐</t>
        </is>
      </c>
    </row>
    <row r="39" ht="18" customHeight="1">
      <c r="A39" s="5" t="inlineStr">
        <is>
          <t>3 – AB Drive Modules</t>
        </is>
      </c>
      <c r="B39" s="5" t="inlineStr">
        <is>
          <t>Fasteners</t>
        </is>
      </c>
      <c r="C39" s="6" t="inlineStr">
        <is>
          <t>M3x25 SHCS</t>
        </is>
      </c>
      <c r="D39" s="7" t="n">
        <v>6</v>
      </c>
      <c r="E39" s="8" t="inlineStr">
        <is>
          <t>⚡ Buy All Now</t>
        </is>
      </c>
      <c r="F39" s="6" t="inlineStr">
        <is>
          <t>AB drive frames</t>
        </is>
      </c>
      <c r="G39" s="7" t="inlineStr"/>
      <c r="H39" s="9">
        <f>IF(ISNUMBER(G39),D39*G39,"")</f>
        <v/>
      </c>
      <c r="I39" s="5" t="inlineStr">
        <is>
          <t>Research</t>
        </is>
      </c>
      <c r="J39" s="6" t="inlineStr"/>
      <c r="K39" s="5" t="inlineStr"/>
      <c r="L39" s="5" t="inlineStr"/>
      <c r="M39" s="5" t="inlineStr"/>
      <c r="N39" s="7" t="inlineStr">
        <is>
          <t>☐</t>
        </is>
      </c>
    </row>
    <row r="40" ht="18" customHeight="1">
      <c r="A40" s="5" t="inlineStr">
        <is>
          <t>3 – AB Drive Modules</t>
        </is>
      </c>
      <c r="B40" s="5" t="inlineStr">
        <is>
          <t>Fasteners</t>
        </is>
      </c>
      <c r="C40" s="6" t="inlineStr">
        <is>
          <t>M3x12 SHCS</t>
        </is>
      </c>
      <c r="D40" s="7" t="n">
        <v>41</v>
      </c>
      <c r="E40" s="8" t="inlineStr">
        <is>
          <t>⚡ Buy All Now</t>
        </is>
      </c>
      <c r="F40" s="6" t="inlineStr">
        <is>
          <t>AB drives — used throughout</t>
        </is>
      </c>
      <c r="G40" s="7" t="inlineStr"/>
      <c r="H40" s="9">
        <f>IF(ISNUMBER(G40),D40*G40,"")</f>
        <v/>
      </c>
      <c r="I40" s="5" t="inlineStr">
        <is>
          <t>Research</t>
        </is>
      </c>
      <c r="J40" s="6" t="inlineStr"/>
      <c r="K40" s="5" t="inlineStr"/>
      <c r="L40" s="5" t="inlineStr"/>
      <c r="M40" s="5" t="inlineStr"/>
      <c r="N40" s="7" t="inlineStr">
        <is>
          <t>☐</t>
        </is>
      </c>
    </row>
    <row r="41" ht="18" customHeight="1">
      <c r="A41" s="15" t="inlineStr">
        <is>
          <t>3 – AB Drive Modules</t>
        </is>
      </c>
      <c r="B41" s="15" t="inlineStr">
        <is>
          <t>Motion</t>
        </is>
      </c>
      <c r="C41" s="16" t="inlineStr">
        <is>
          <t>GT2 20T Pulley (5mm ID 6mm W)</t>
        </is>
      </c>
      <c r="D41" s="17" t="n">
        <v>3</v>
      </c>
      <c r="E41" s="18" t="inlineStr">
        <is>
          <t>Buy when needed</t>
        </is>
      </c>
      <c r="F41" s="16" t="inlineStr">
        <is>
          <t>AB drive pulleys</t>
        </is>
      </c>
      <c r="G41" s="17" t="inlineStr"/>
      <c r="H41" s="19">
        <f>IF(ISNUMBER(G41),D41*G41,"")</f>
        <v/>
      </c>
      <c r="I41" s="5" t="inlineStr">
        <is>
          <t>Research</t>
        </is>
      </c>
      <c r="J41" s="16" t="inlineStr"/>
      <c r="K41" s="15" t="inlineStr"/>
      <c r="L41" s="15" t="inlineStr"/>
      <c r="M41" s="15" t="inlineStr"/>
      <c r="N41" s="17" t="inlineStr">
        <is>
          <t>☐</t>
        </is>
      </c>
    </row>
    <row r="42" ht="18" customHeight="1">
      <c r="A42" s="10" t="inlineStr">
        <is>
          <t>3 – AB Drive Modules</t>
        </is>
      </c>
      <c r="B42" s="10" t="inlineStr">
        <is>
          <t>Motion</t>
        </is>
      </c>
      <c r="C42" s="11" t="inlineStr">
        <is>
          <t>GT2 20T Pulley (5mm ID 9mm W)</t>
        </is>
      </c>
      <c r="D42" s="12" t="n">
        <v>4</v>
      </c>
      <c r="E42" s="13" t="inlineStr">
        <is>
          <t>Buy when needed</t>
        </is>
      </c>
      <c r="F42" s="11" t="inlineStr">
        <is>
          <t>AB drive pulleys (9mm)</t>
        </is>
      </c>
      <c r="G42" s="12" t="inlineStr"/>
      <c r="H42" s="14">
        <f>IF(ISNUMBER(G42),D42*G42,"")</f>
        <v/>
      </c>
      <c r="I42" s="5" t="inlineStr">
        <is>
          <t>Research</t>
        </is>
      </c>
      <c r="J42" s="11" t="inlineStr"/>
      <c r="K42" s="10" t="inlineStr"/>
      <c r="L42" s="10" t="inlineStr"/>
      <c r="M42" s="10" t="inlineStr"/>
      <c r="N42" s="12" t="inlineStr">
        <is>
          <t>☐</t>
        </is>
      </c>
    </row>
    <row r="43" ht="18" customHeight="1">
      <c r="A43" s="15" t="inlineStr">
        <is>
          <t>3 – AB Drive Modules</t>
        </is>
      </c>
      <c r="B43" s="15" t="inlineStr">
        <is>
          <t>Motion</t>
        </is>
      </c>
      <c r="C43" s="16" t="inlineStr">
        <is>
          <t>GT2 16T Pulley (5mm ID 6mm W)</t>
        </is>
      </c>
      <c r="D43" s="17" t="n">
        <v>4</v>
      </c>
      <c r="E43" s="18" t="inlineStr">
        <is>
          <t>Buy when needed</t>
        </is>
      </c>
      <c r="F43" s="16" t="inlineStr">
        <is>
          <t>AB motor drive pulleys</t>
        </is>
      </c>
      <c r="G43" s="17" t="inlineStr"/>
      <c r="H43" s="19">
        <f>IF(ISNUMBER(G43),D43*G43,"")</f>
        <v/>
      </c>
      <c r="I43" s="5" t="inlineStr">
        <is>
          <t>Research</t>
        </is>
      </c>
      <c r="J43" s="16" t="inlineStr"/>
      <c r="K43" s="15" t="inlineStr"/>
      <c r="L43" s="15" t="inlineStr"/>
      <c r="M43" s="15" t="inlineStr"/>
      <c r="N43" s="17" t="inlineStr">
        <is>
          <t>☐</t>
        </is>
      </c>
    </row>
    <row r="44" ht="18" customHeight="1">
      <c r="A44" s="10" t="inlineStr">
        <is>
          <t>3 – AB Drive Modules</t>
        </is>
      </c>
      <c r="B44" s="10" t="inlineStr">
        <is>
          <t>Motion</t>
        </is>
      </c>
      <c r="C44" s="11" t="inlineStr">
        <is>
          <t>GT2 20T Toothed Idler (5mm ID 6mm W)</t>
        </is>
      </c>
      <c r="D44" s="12" t="n">
        <v>2</v>
      </c>
      <c r="E44" s="13" t="inlineStr">
        <is>
          <t>Buy when needed</t>
        </is>
      </c>
      <c r="F44" s="11" t="inlineStr">
        <is>
          <t>AB/XY idlers</t>
        </is>
      </c>
      <c r="G44" s="12" t="inlineStr"/>
      <c r="H44" s="14">
        <f>IF(ISNUMBER(G44),D44*G44,"")</f>
        <v/>
      </c>
      <c r="I44" s="5" t="inlineStr">
        <is>
          <t>Research</t>
        </is>
      </c>
      <c r="J44" s="11" t="inlineStr"/>
      <c r="K44" s="10" t="inlineStr"/>
      <c r="L44" s="10" t="inlineStr"/>
      <c r="M44" s="10" t="inlineStr"/>
      <c r="N44" s="12" t="inlineStr">
        <is>
          <t>☐</t>
        </is>
      </c>
    </row>
    <row r="45" ht="18" customHeight="1">
      <c r="A45" s="15" t="inlineStr">
        <is>
          <t>3 – AB Drive Modules</t>
        </is>
      </c>
      <c r="B45" s="15" t="inlineStr">
        <is>
          <t>Motion</t>
        </is>
      </c>
      <c r="C45" s="16" t="inlineStr">
        <is>
          <t>GT2 20T Toothed Idler (5mm ID 9mm W)</t>
        </is>
      </c>
      <c r="D45" s="17" t="n">
        <v>4</v>
      </c>
      <c r="E45" s="18" t="inlineStr">
        <is>
          <t>Buy when needed</t>
        </is>
      </c>
      <c r="F45" s="16" t="inlineStr">
        <is>
          <t>AB/XY idlers (9mm)</t>
        </is>
      </c>
      <c r="G45" s="17" t="inlineStr"/>
      <c r="H45" s="19">
        <f>IF(ISNUMBER(G45),D45*G45,"")</f>
        <v/>
      </c>
      <c r="I45" s="5" t="inlineStr">
        <is>
          <t>Research</t>
        </is>
      </c>
      <c r="J45" s="16" t="inlineStr"/>
      <c r="K45" s="15" t="inlineStr"/>
      <c r="L45" s="15" t="inlineStr"/>
      <c r="M45" s="15" t="inlineStr"/>
      <c r="N45" s="17" t="inlineStr">
        <is>
          <t>☐</t>
        </is>
      </c>
    </row>
    <row r="46" ht="18" customHeight="1">
      <c r="A46" s="10" t="inlineStr">
        <is>
          <t>3 – AB Drive Modules</t>
        </is>
      </c>
      <c r="B46" s="10" t="inlineStr">
        <is>
          <t>Motion</t>
        </is>
      </c>
      <c r="C46" s="11" t="inlineStr">
        <is>
          <t>Ø5x60mm Shaft, D Cut</t>
        </is>
      </c>
      <c r="D46" s="12" t="n">
        <v>4</v>
      </c>
      <c r="E46" s="13" t="inlineStr">
        <is>
          <t>Buy when needed</t>
        </is>
      </c>
      <c r="F46" s="11" t="inlineStr">
        <is>
          <t>AB drive shafts × 4</t>
        </is>
      </c>
      <c r="G46" s="12" t="inlineStr"/>
      <c r="H46" s="14">
        <f>IF(ISNUMBER(G46),D46*G46,"")</f>
        <v/>
      </c>
      <c r="I46" s="5" t="inlineStr">
        <is>
          <t>Research</t>
        </is>
      </c>
      <c r="J46" s="11" t="inlineStr"/>
      <c r="K46" s="10" t="inlineStr"/>
      <c r="L46" s="10" t="inlineStr"/>
      <c r="M46" s="10" t="inlineStr"/>
      <c r="N46" s="12" t="inlineStr">
        <is>
          <t>☐</t>
        </is>
      </c>
    </row>
    <row r="47" ht="18" customHeight="1">
      <c r="A47" s="15" t="inlineStr">
        <is>
          <t>3 – AB Drive Modules</t>
        </is>
      </c>
      <c r="B47" s="15" t="inlineStr">
        <is>
          <t>Motion</t>
        </is>
      </c>
      <c r="C47" s="16" t="inlineStr">
        <is>
          <t>Ø5x35mm Shaft (trim to size)</t>
        </is>
      </c>
      <c r="D47" s="17" t="n">
        <v>1</v>
      </c>
      <c r="E47" s="18" t="inlineStr">
        <is>
          <t>Buy when needed</t>
        </is>
      </c>
      <c r="F47" s="16" t="inlineStr">
        <is>
          <t>Extruder drive shaft</t>
        </is>
      </c>
      <c r="G47" s="17" t="inlineStr"/>
      <c r="H47" s="19">
        <f>IF(ISNUMBER(G47),D47*G47,"")</f>
        <v/>
      </c>
      <c r="I47" s="5" t="inlineStr">
        <is>
          <t>Research</t>
        </is>
      </c>
      <c r="J47" s="16" t="inlineStr"/>
      <c r="K47" s="15" t="inlineStr"/>
      <c r="L47" s="15" t="inlineStr"/>
      <c r="M47" s="15" t="inlineStr"/>
      <c r="N47" s="17" t="inlineStr">
        <is>
          <t>☐</t>
        </is>
      </c>
    </row>
    <row r="48" ht="18" customHeight="1">
      <c r="A48" s="10" t="inlineStr">
        <is>
          <t>3 – AB Drive Modules</t>
        </is>
      </c>
      <c r="B48" s="10" t="inlineStr">
        <is>
          <t>Motion</t>
        </is>
      </c>
      <c r="C48" s="11" t="inlineStr">
        <is>
          <t>GT2 Open Belt LL-2GT-6 (6mm wide) - 1800mm</t>
        </is>
      </c>
      <c r="D48" s="12" t="n">
        <v>2</v>
      </c>
      <c r="E48" s="13" t="inlineStr">
        <is>
          <t>Buy when needed</t>
        </is>
      </c>
      <c r="F48" s="11" t="inlineStr">
        <is>
          <t>XY gantry belts × 2</t>
        </is>
      </c>
      <c r="G48" s="12" t="inlineStr"/>
      <c r="H48" s="14">
        <f>IF(ISNUMBER(G48),D48*G48,"")</f>
        <v/>
      </c>
      <c r="I48" s="5" t="inlineStr">
        <is>
          <t>Research</t>
        </is>
      </c>
      <c r="J48" s="11" t="inlineStr"/>
      <c r="K48" s="10" t="inlineStr"/>
      <c r="L48" s="10" t="inlineStr"/>
      <c r="M48" s="10" t="inlineStr"/>
      <c r="N48" s="12" t="inlineStr">
        <is>
          <t>☐</t>
        </is>
      </c>
    </row>
    <row r="49" ht="20" customHeight="1">
      <c r="A49" s="4" t="inlineStr">
        <is>
          <t xml:space="preserve">  ▶  4 – GANTRY / XY JOINTS  —  Buy these parts before this assembly step</t>
        </is>
      </c>
    </row>
    <row r="50" ht="18" customHeight="1">
      <c r="A50" s="5" t="inlineStr">
        <is>
          <t>4 – Gantry / XY Joints</t>
        </is>
      </c>
      <c r="B50" s="5" t="inlineStr">
        <is>
          <t>Fasteners</t>
        </is>
      </c>
      <c r="C50" s="6" t="inlineStr">
        <is>
          <t>M3x10 FHCS</t>
        </is>
      </c>
      <c r="D50" s="7" t="n">
        <v>4</v>
      </c>
      <c r="E50" s="8" t="inlineStr">
        <is>
          <t>⚡ Buy All Now</t>
        </is>
      </c>
      <c r="F50" s="6" t="inlineStr">
        <is>
          <t>XY joints flush screws</t>
        </is>
      </c>
      <c r="G50" s="7" t="inlineStr"/>
      <c r="H50" s="9">
        <f>IF(ISNUMBER(G50),D50*G50,"")</f>
        <v/>
      </c>
      <c r="I50" s="5" t="inlineStr">
        <is>
          <t>Research</t>
        </is>
      </c>
      <c r="J50" s="6" t="inlineStr"/>
      <c r="K50" s="5" t="inlineStr"/>
      <c r="L50" s="5" t="inlineStr"/>
      <c r="M50" s="5" t="inlineStr"/>
      <c r="N50" s="7" t="inlineStr">
        <is>
          <t>☐</t>
        </is>
      </c>
    </row>
    <row r="51" ht="18" customHeight="1">
      <c r="A51" s="5" t="inlineStr">
        <is>
          <t>4 – Gantry / XY Joints</t>
        </is>
      </c>
      <c r="B51" s="5" t="inlineStr">
        <is>
          <t>Fasteners</t>
        </is>
      </c>
      <c r="C51" s="6" t="inlineStr">
        <is>
          <t>M3x6 FHCS</t>
        </is>
      </c>
      <c r="D51" s="7" t="n">
        <v>8</v>
      </c>
      <c r="E51" s="8" t="inlineStr">
        <is>
          <t>⚡ Buy All Now</t>
        </is>
      </c>
      <c r="F51" s="6" t="inlineStr">
        <is>
          <t>XY joints flush screws</t>
        </is>
      </c>
      <c r="G51" s="7" t="inlineStr"/>
      <c r="H51" s="9">
        <f>IF(ISNUMBER(G51),D51*G51,"")</f>
        <v/>
      </c>
      <c r="I51" s="5" t="inlineStr">
        <is>
          <t>Research</t>
        </is>
      </c>
      <c r="J51" s="6" t="inlineStr"/>
      <c r="K51" s="5" t="inlineStr"/>
      <c r="L51" s="5" t="inlineStr"/>
      <c r="M51" s="5" t="inlineStr"/>
      <c r="N51" s="7" t="inlineStr">
        <is>
          <t>☐</t>
        </is>
      </c>
    </row>
    <row r="52" ht="18" customHeight="1">
      <c r="A52" s="10" t="inlineStr">
        <is>
          <t>4 – Gantry / XY Joints</t>
        </is>
      </c>
      <c r="B52" s="10" t="inlineStr">
        <is>
          <t>Motion</t>
        </is>
      </c>
      <c r="C52" s="11" t="inlineStr">
        <is>
          <t>Linear Rail MGN12H 350mm</t>
        </is>
      </c>
      <c r="D52" s="12" t="n">
        <v>1</v>
      </c>
      <c r="E52" s="13" t="inlineStr">
        <is>
          <t>Buy when needed</t>
        </is>
      </c>
      <c r="F52" s="11" t="inlineStr">
        <is>
          <t>X axis rail × 1</t>
        </is>
      </c>
      <c r="G52" s="12" t="inlineStr"/>
      <c r="H52" s="14">
        <f>IF(ISNUMBER(G52),D52*G52,"")</f>
        <v/>
      </c>
      <c r="I52" s="5" t="inlineStr">
        <is>
          <t>Research</t>
        </is>
      </c>
      <c r="J52" s="11" t="inlineStr"/>
      <c r="K52" s="10" t="inlineStr"/>
      <c r="L52" s="10" t="inlineStr"/>
      <c r="M52" s="10" t="inlineStr"/>
      <c r="N52" s="12" t="inlineStr">
        <is>
          <t>☐</t>
        </is>
      </c>
    </row>
    <row r="53" ht="18" customHeight="1">
      <c r="A53" s="15" t="inlineStr">
        <is>
          <t>4 – Gantry / XY Joints</t>
        </is>
      </c>
      <c r="B53" s="15" t="inlineStr">
        <is>
          <t>Electronics</t>
        </is>
      </c>
      <c r="C53" s="16" t="inlineStr">
        <is>
          <t>Omron D2F-01L Micro Switch</t>
        </is>
      </c>
      <c r="D53" s="17" t="n">
        <v>3</v>
      </c>
      <c r="E53" s="18" t="inlineStr">
        <is>
          <t>Buy when needed</t>
        </is>
      </c>
      <c r="F53" s="16" t="inlineStr">
        <is>
          <t>XY &amp; Z endstop microswitches</t>
        </is>
      </c>
      <c r="G53" s="17" t="inlineStr"/>
      <c r="H53" s="19">
        <f>IF(ISNUMBER(G53),D53*G53,"")</f>
        <v/>
      </c>
      <c r="I53" s="5" t="inlineStr">
        <is>
          <t>Research</t>
        </is>
      </c>
      <c r="J53" s="16" t="inlineStr"/>
      <c r="K53" s="15" t="inlineStr"/>
      <c r="L53" s="15" t="inlineStr"/>
      <c r="M53" s="15" t="inlineStr"/>
      <c r="N53" s="17" t="inlineStr">
        <is>
          <t>☐</t>
        </is>
      </c>
    </row>
    <row r="54" ht="20" customHeight="1">
      <c r="A54" s="4" t="inlineStr">
        <is>
          <t xml:space="preserve">  ▶  5 – TOOLHEAD  —  Buy these parts before this assembly step</t>
        </is>
      </c>
    </row>
    <row r="55" ht="18" customHeight="1">
      <c r="A55" s="15" t="inlineStr">
        <is>
          <t>5 – Toolhead</t>
        </is>
      </c>
      <c r="B55" s="15" t="inlineStr">
        <is>
          <t>Motion</t>
        </is>
      </c>
      <c r="C55" s="16" t="inlineStr">
        <is>
          <t>BMG Extruder Components Kit</t>
        </is>
      </c>
      <c r="D55" s="17" t="n">
        <v>1</v>
      </c>
      <c r="E55" s="18" t="inlineStr">
        <is>
          <t>Buy when needed</t>
        </is>
      </c>
      <c r="F55" s="16" t="inlineStr">
        <is>
          <t>CW2/extruder components</t>
        </is>
      </c>
      <c r="G55" s="17" t="inlineStr"/>
      <c r="H55" s="19">
        <f>IF(ISNUMBER(G55),D55*G55,"")</f>
        <v/>
      </c>
      <c r="I55" s="5" t="inlineStr">
        <is>
          <t>Research</t>
        </is>
      </c>
      <c r="J55" s="16" t="inlineStr"/>
      <c r="K55" s="15" t="inlineStr"/>
      <c r="L55" s="15" t="inlineStr"/>
      <c r="M55" s="15" t="inlineStr"/>
      <c r="N55" s="17" t="inlineStr">
        <is>
          <t>☐</t>
        </is>
      </c>
    </row>
    <row r="56" ht="18" customHeight="1">
      <c r="A56" s="10" t="inlineStr">
        <is>
          <t>5 – Toolhead</t>
        </is>
      </c>
      <c r="B56" s="10" t="inlineStr">
        <is>
          <t>Electronics</t>
        </is>
      </c>
      <c r="C56" s="11" t="inlineStr">
        <is>
          <t>Inductive Probe (See sourcing guide)</t>
        </is>
      </c>
      <c r="D56" s="12" t="n">
        <v>1</v>
      </c>
      <c r="E56" s="13" t="inlineStr">
        <is>
          <t>Buy when needed</t>
        </is>
      </c>
      <c r="F56" s="11" t="inlineStr">
        <is>
          <t>Z probe on toolhead</t>
        </is>
      </c>
      <c r="G56" s="12" t="inlineStr"/>
      <c r="H56" s="14">
        <f>IF(ISNUMBER(G56),D56*G56,"")</f>
        <v/>
      </c>
      <c r="I56" s="5" t="inlineStr">
        <is>
          <t>Research</t>
        </is>
      </c>
      <c r="J56" s="11" t="inlineStr"/>
      <c r="K56" s="10" t="inlineStr"/>
      <c r="L56" s="10" t="inlineStr"/>
      <c r="M56" s="10" t="inlineStr"/>
      <c r="N56" s="12" t="inlineStr">
        <is>
          <t>☐</t>
        </is>
      </c>
    </row>
    <row r="57" ht="18" customHeight="1">
      <c r="A57" s="15" t="inlineStr">
        <is>
          <t>5 – Toolhead</t>
        </is>
      </c>
      <c r="B57" s="15" t="inlineStr">
        <is>
          <t>Electronics</t>
        </is>
      </c>
      <c r="C57" s="16" t="inlineStr">
        <is>
          <t>Hotend Kit (24V)</t>
        </is>
      </c>
      <c r="D57" s="17" t="n">
        <v>1</v>
      </c>
      <c r="E57" s="18" t="inlineStr">
        <is>
          <t>Buy when needed</t>
        </is>
      </c>
      <c r="F57" s="16" t="inlineStr">
        <is>
          <t>Hotend</t>
        </is>
      </c>
      <c r="G57" s="17" t="inlineStr"/>
      <c r="H57" s="19">
        <f>IF(ISNUMBER(G57),D57*G57,"")</f>
        <v/>
      </c>
      <c r="I57" s="5" t="inlineStr">
        <is>
          <t>Research</t>
        </is>
      </c>
      <c r="J57" s="16" t="inlineStr"/>
      <c r="K57" s="15" t="inlineStr"/>
      <c r="L57" s="15" t="inlineStr"/>
      <c r="M57" s="15" t="inlineStr"/>
      <c r="N57" s="17" t="inlineStr">
        <is>
          <t>☐</t>
        </is>
      </c>
    </row>
    <row r="58" ht="18" customHeight="1">
      <c r="A58" s="10" t="inlineStr">
        <is>
          <t>5 – Toolhead</t>
        </is>
      </c>
      <c r="B58" s="10" t="inlineStr">
        <is>
          <t>Electronics</t>
        </is>
      </c>
      <c r="C58" s="11" t="inlineStr">
        <is>
          <t>50x50x15 Centrifugal Fan (24V)</t>
        </is>
      </c>
      <c r="D58" s="12" t="n">
        <v>1</v>
      </c>
      <c r="E58" s="13" t="inlineStr">
        <is>
          <t>Buy when needed</t>
        </is>
      </c>
      <c r="F58" s="11" t="inlineStr">
        <is>
          <t>Part cooling blower fan</t>
        </is>
      </c>
      <c r="G58" s="12" t="inlineStr"/>
      <c r="H58" s="14">
        <f>IF(ISNUMBER(G58),D58*G58,"")</f>
        <v/>
      </c>
      <c r="I58" s="5" t="inlineStr">
        <is>
          <t>Research</t>
        </is>
      </c>
      <c r="J58" s="11" t="inlineStr"/>
      <c r="K58" s="10" t="inlineStr"/>
      <c r="L58" s="10" t="inlineStr"/>
      <c r="M58" s="10" t="inlineStr"/>
      <c r="N58" s="12" t="inlineStr">
        <is>
          <t>☐</t>
        </is>
      </c>
    </row>
    <row r="59" ht="18" customHeight="1">
      <c r="A59" s="15" t="inlineStr">
        <is>
          <t>5 – Toolhead</t>
        </is>
      </c>
      <c r="B59" s="15" t="inlineStr">
        <is>
          <t>Electronics</t>
        </is>
      </c>
      <c r="C59" s="16" t="inlineStr">
        <is>
          <t>40x40x10 Axial Fan (24V)</t>
        </is>
      </c>
      <c r="D59" s="17" t="n">
        <v>1</v>
      </c>
      <c r="E59" s="18" t="inlineStr">
        <is>
          <t>Buy when needed</t>
        </is>
      </c>
      <c r="F59" s="16" t="inlineStr">
        <is>
          <t>Hotend heatsink fan</t>
        </is>
      </c>
      <c r="G59" s="17" t="inlineStr"/>
      <c r="H59" s="19">
        <f>IF(ISNUMBER(G59),D59*G59,"")</f>
        <v/>
      </c>
      <c r="I59" s="5" t="inlineStr">
        <is>
          <t>Research</t>
        </is>
      </c>
      <c r="J59" s="16" t="inlineStr"/>
      <c r="K59" s="15" t="inlineStr"/>
      <c r="L59" s="15" t="inlineStr"/>
      <c r="M59" s="15" t="inlineStr"/>
      <c r="N59" s="17" t="inlineStr">
        <is>
          <t>☐</t>
        </is>
      </c>
    </row>
    <row r="60" ht="18" customHeight="1">
      <c r="A60" s="10" t="inlineStr">
        <is>
          <t>5 – Toolhead</t>
        </is>
      </c>
      <c r="B60" s="10" t="inlineStr">
        <is>
          <t>Electronics</t>
        </is>
      </c>
      <c r="C60" s="11" t="inlineStr">
        <is>
          <t>NEMA14 Motor 36STH20-1004AHG</t>
        </is>
      </c>
      <c r="D60" s="12" t="n">
        <v>1</v>
      </c>
      <c r="E60" s="13" t="inlineStr">
        <is>
          <t>Buy when needed</t>
        </is>
      </c>
      <c r="F60" s="11" t="inlineStr">
        <is>
          <t>Extruder motor</t>
        </is>
      </c>
      <c r="G60" s="12" t="inlineStr"/>
      <c r="H60" s="14">
        <f>IF(ISNUMBER(G60),D60*G60,"")</f>
        <v/>
      </c>
      <c r="I60" s="5" t="inlineStr">
        <is>
          <t>Research</t>
        </is>
      </c>
      <c r="J60" s="11" t="inlineStr"/>
      <c r="K60" s="10" t="inlineStr"/>
      <c r="L60" s="10" t="inlineStr"/>
      <c r="M60" s="10" t="inlineStr"/>
      <c r="N60" s="12" t="inlineStr">
        <is>
          <t>☐</t>
        </is>
      </c>
    </row>
    <row r="61" ht="18" customHeight="1">
      <c r="A61" s="15" t="inlineStr">
        <is>
          <t>5 – Toolhead</t>
        </is>
      </c>
      <c r="B61" s="15" t="inlineStr">
        <is>
          <t>Misc</t>
        </is>
      </c>
      <c r="C61" s="16" t="inlineStr">
        <is>
          <t>4mm Threaded Bowden Coupler</t>
        </is>
      </c>
      <c r="D61" s="17" t="n">
        <v>1</v>
      </c>
      <c r="E61" s="18" t="inlineStr">
        <is>
          <t>Buy when needed</t>
        </is>
      </c>
      <c r="F61" s="16" t="inlineStr">
        <is>
          <t>Hotend PTFE coupler</t>
        </is>
      </c>
      <c r="G61" s="17" t="inlineStr"/>
      <c r="H61" s="19">
        <f>IF(ISNUMBER(G61),D61*G61,"")</f>
        <v/>
      </c>
      <c r="I61" s="5" t="inlineStr">
        <is>
          <t>Research</t>
        </is>
      </c>
      <c r="J61" s="16" t="inlineStr"/>
      <c r="K61" s="15" t="inlineStr"/>
      <c r="L61" s="15" t="inlineStr"/>
      <c r="M61" s="15" t="inlineStr"/>
      <c r="N61" s="17" t="inlineStr">
        <is>
          <t>☐</t>
        </is>
      </c>
    </row>
    <row r="62" ht="18" customHeight="1">
      <c r="A62" s="5" t="inlineStr">
        <is>
          <t>5 – Toolhead</t>
        </is>
      </c>
      <c r="B62" s="5" t="inlineStr">
        <is>
          <t>Misc</t>
        </is>
      </c>
      <c r="C62" s="6" t="inlineStr">
        <is>
          <t>Ø6x3mm Neodimium Magnet</t>
        </is>
      </c>
      <c r="D62" s="7" t="n">
        <v>8</v>
      </c>
      <c r="E62" s="8" t="inlineStr">
        <is>
          <t>⚡ Buy All Now</t>
        </is>
      </c>
      <c r="F62" s="6" t="inlineStr">
        <is>
          <t>Probe &amp; toolhead magnets — buy all</t>
        </is>
      </c>
      <c r="G62" s="7" t="inlineStr"/>
      <c r="H62" s="9">
        <f>IF(ISNUMBER(G62),D62*G62,"")</f>
        <v/>
      </c>
      <c r="I62" s="5" t="inlineStr">
        <is>
          <t>Research</t>
        </is>
      </c>
      <c r="J62" s="6" t="inlineStr"/>
      <c r="K62" s="5" t="inlineStr"/>
      <c r="L62" s="5" t="inlineStr"/>
      <c r="M62" s="5" t="inlineStr"/>
      <c r="N62" s="7" t="inlineStr">
        <is>
          <t>☐</t>
        </is>
      </c>
    </row>
    <row r="63" ht="18" customHeight="1">
      <c r="A63" s="15" t="inlineStr">
        <is>
          <t>5 – Toolhead</t>
        </is>
      </c>
      <c r="B63" s="15" t="inlineStr">
        <is>
          <t>Misc</t>
        </is>
      </c>
      <c r="C63" s="16" t="inlineStr">
        <is>
          <t>PTFE Tube (4mm OD 3mm ID) - 1000mm</t>
        </is>
      </c>
      <c r="D63" s="17" t="n">
        <v>1</v>
      </c>
      <c r="E63" s="18" t="inlineStr">
        <is>
          <t>Buy when needed</t>
        </is>
      </c>
      <c r="F63" s="16" t="inlineStr">
        <is>
          <t>Bowden path</t>
        </is>
      </c>
      <c r="G63" s="17" t="inlineStr"/>
      <c r="H63" s="19">
        <f>IF(ISNUMBER(G63),D63*G63,"")</f>
        <v/>
      </c>
      <c r="I63" s="5" t="inlineStr">
        <is>
          <t>Research</t>
        </is>
      </c>
      <c r="J63" s="16" t="inlineStr"/>
      <c r="K63" s="15" t="inlineStr"/>
      <c r="L63" s="15" t="inlineStr"/>
      <c r="M63" s="15" t="inlineStr"/>
      <c r="N63" s="17" t="inlineStr">
        <is>
          <t>☐</t>
        </is>
      </c>
    </row>
    <row r="64" ht="18" customHeight="1">
      <c r="A64" s="10" t="inlineStr">
        <is>
          <t>5 – Toolhead</t>
        </is>
      </c>
      <c r="B64" s="10" t="inlineStr">
        <is>
          <t>Misc</t>
        </is>
      </c>
      <c r="C64" s="11" t="inlineStr">
        <is>
          <t>PTFE Tube (4mm OD 2mm ID) - 300mm</t>
        </is>
      </c>
      <c r="D64" s="12" t="n">
        <v>1</v>
      </c>
      <c r="E64" s="13" t="inlineStr">
        <is>
          <t>Buy when needed</t>
        </is>
      </c>
      <c r="F64" s="11" t="inlineStr">
        <is>
          <t>Hotend PTFE liner</t>
        </is>
      </c>
      <c r="G64" s="12" t="inlineStr"/>
      <c r="H64" s="14">
        <f>IF(ISNUMBER(G64),D64*G64,"")</f>
        <v/>
      </c>
      <c r="I64" s="5" t="inlineStr">
        <is>
          <t>Research</t>
        </is>
      </c>
      <c r="J64" s="11" t="inlineStr"/>
      <c r="K64" s="10" t="inlineStr"/>
      <c r="L64" s="10" t="inlineStr"/>
      <c r="M64" s="10" t="inlineStr"/>
      <c r="N64" s="12" t="inlineStr">
        <is>
          <t>☐</t>
        </is>
      </c>
    </row>
    <row r="65" ht="20" customHeight="1">
      <c r="A65" s="4" t="inlineStr">
        <is>
          <t xml:space="preserve">  ▶  6 – BELTING Z DRIVE  —  Buy these parts before this assembly step</t>
        </is>
      </c>
    </row>
    <row r="66" ht="18" customHeight="1">
      <c r="A66" s="10" t="inlineStr">
        <is>
          <t>6 – Belting Z Drive</t>
        </is>
      </c>
      <c r="B66" s="10" t="inlineStr">
        <is>
          <t>Motion</t>
        </is>
      </c>
      <c r="C66" s="11" t="inlineStr">
        <is>
          <t>GT2 Open Belt LL-2GT-9 (9mm wide) - 1100mm</t>
        </is>
      </c>
      <c r="D66" s="12" t="n">
        <v>4</v>
      </c>
      <c r="E66" s="13" t="inlineStr">
        <is>
          <t>Buy when needed</t>
        </is>
      </c>
      <c r="F66" s="11" t="inlineStr">
        <is>
          <t>Z open belt × 4</t>
        </is>
      </c>
      <c r="G66" s="12" t="inlineStr"/>
      <c r="H66" s="14">
        <f>IF(ISNUMBER(G66),D66*G66,"")</f>
        <v/>
      </c>
      <c r="I66" s="5" t="inlineStr">
        <is>
          <t>Research</t>
        </is>
      </c>
      <c r="J66" s="11" t="inlineStr"/>
      <c r="K66" s="10" t="inlineStr"/>
      <c r="L66" s="10" t="inlineStr"/>
      <c r="M66" s="10" t="inlineStr"/>
      <c r="N66" s="12" t="inlineStr">
        <is>
          <t>☐</t>
        </is>
      </c>
    </row>
    <row r="67" ht="20" customHeight="1">
      <c r="A67" s="4" t="inlineStr">
        <is>
          <t xml:space="preserve">  ▶  7 – LCD MODULE  —  Buy these parts before this assembly step</t>
        </is>
      </c>
    </row>
    <row r="68" ht="18" customHeight="1">
      <c r="A68" s="10" t="inlineStr">
        <is>
          <t>7 – LCD Module</t>
        </is>
      </c>
      <c r="B68" s="10" t="inlineStr">
        <is>
          <t>Electronics</t>
        </is>
      </c>
      <c r="C68" s="11" t="inlineStr">
        <is>
          <t>Mini 12864 Display</t>
        </is>
      </c>
      <c r="D68" s="12" t="n">
        <v>1</v>
      </c>
      <c r="E68" s="13" t="inlineStr">
        <is>
          <t>Buy when needed</t>
        </is>
      </c>
      <c r="F68" s="11" t="inlineStr">
        <is>
          <t>LCD display</t>
        </is>
      </c>
      <c r="G68" s="12" t="inlineStr"/>
      <c r="H68" s="14">
        <f>IF(ISNUMBER(G68),D68*G68,"")</f>
        <v/>
      </c>
      <c r="I68" s="5" t="inlineStr">
        <is>
          <t>Research</t>
        </is>
      </c>
      <c r="J68" s="11" t="inlineStr"/>
      <c r="K68" s="10" t="inlineStr"/>
      <c r="L68" s="10" t="inlineStr"/>
      <c r="M68" s="10" t="inlineStr"/>
      <c r="N68" s="12" t="inlineStr">
        <is>
          <t>☐</t>
        </is>
      </c>
    </row>
    <row r="69" ht="20" customHeight="1">
      <c r="A69" s="4" t="inlineStr">
        <is>
          <t xml:space="preserve">  ▶  8 – SKIRTS  —  Buy these parts before this assembly step</t>
        </is>
      </c>
    </row>
    <row r="70" ht="18" customHeight="1">
      <c r="A70" s="5" t="inlineStr">
        <is>
          <t>8 – Skirts</t>
        </is>
      </c>
      <c r="B70" s="5" t="inlineStr">
        <is>
          <t>Fasteners</t>
        </is>
      </c>
      <c r="C70" s="6" t="inlineStr">
        <is>
          <t>M3x6 BHCS</t>
        </is>
      </c>
      <c r="D70" s="7" t="n">
        <v>11</v>
      </c>
      <c r="E70" s="8" t="inlineStr">
        <is>
          <t>⚡ Buy All Now</t>
        </is>
      </c>
      <c r="F70" s="6" t="inlineStr">
        <is>
          <t>Skirt assembly</t>
        </is>
      </c>
      <c r="G70" s="7" t="inlineStr"/>
      <c r="H70" s="9">
        <f>IF(ISNUMBER(G70),D70*G70,"")</f>
        <v/>
      </c>
      <c r="I70" s="5" t="inlineStr">
        <is>
          <t>Research</t>
        </is>
      </c>
      <c r="J70" s="6" t="inlineStr"/>
      <c r="K70" s="5" t="inlineStr"/>
      <c r="L70" s="5" t="inlineStr"/>
      <c r="M70" s="5" t="inlineStr"/>
      <c r="N70" s="7" t="inlineStr">
        <is>
          <t>☐</t>
        </is>
      </c>
    </row>
    <row r="71" ht="18" customHeight="1">
      <c r="A71" s="15" t="inlineStr">
        <is>
          <t>8 – Skirts</t>
        </is>
      </c>
      <c r="B71" s="15" t="inlineStr">
        <is>
          <t>Electronics</t>
        </is>
      </c>
      <c r="C71" s="16" t="inlineStr">
        <is>
          <t>60x60x20 Fan (24V)</t>
        </is>
      </c>
      <c r="D71" s="17" t="n">
        <v>3</v>
      </c>
      <c r="E71" s="18" t="inlineStr">
        <is>
          <t>Buy when needed</t>
        </is>
      </c>
      <c r="F71" s="16" t="inlineStr">
        <is>
          <t>Skirt exhaust fans × 3</t>
        </is>
      </c>
      <c r="G71" s="17" t="inlineStr"/>
      <c r="H71" s="19">
        <f>IF(ISNUMBER(G71),D71*G71,"")</f>
        <v/>
      </c>
      <c r="I71" s="5" t="inlineStr">
        <is>
          <t>Research</t>
        </is>
      </c>
      <c r="J71" s="16" t="inlineStr"/>
      <c r="K71" s="15" t="inlineStr"/>
      <c r="L71" s="15" t="inlineStr"/>
      <c r="M71" s="15" t="inlineStr"/>
      <c r="N71" s="17" t="inlineStr">
        <is>
          <t>☐</t>
        </is>
      </c>
    </row>
    <row r="72" ht="20" customHeight="1">
      <c r="A72" s="4" t="inlineStr">
        <is>
          <t xml:space="preserve">  ▶  9 – PANELS  —  Buy these parts before this assembly step</t>
        </is>
      </c>
    </row>
    <row r="73" ht="18" customHeight="1">
      <c r="A73" s="15" t="inlineStr">
        <is>
          <t>9 – Panels</t>
        </is>
      </c>
      <c r="B73" s="15" t="inlineStr">
        <is>
          <t>Misc</t>
        </is>
      </c>
      <c r="C73" s="16" t="inlineStr">
        <is>
          <t>Single Sided Foam Tape 1mm Thick (5m)</t>
        </is>
      </c>
      <c r="D73" s="17" t="n">
        <v>1</v>
      </c>
      <c r="E73" s="18" t="inlineStr">
        <is>
          <t>Buy when needed</t>
        </is>
      </c>
      <c r="F73" s="16" t="inlineStr">
        <is>
          <t>Panel sealing</t>
        </is>
      </c>
      <c r="G73" s="17" t="inlineStr"/>
      <c r="H73" s="19">
        <f>IF(ISNUMBER(G73),D73*G73,"")</f>
        <v/>
      </c>
      <c r="I73" s="5" t="inlineStr">
        <is>
          <t>Research</t>
        </is>
      </c>
      <c r="J73" s="16" t="inlineStr"/>
      <c r="K73" s="15" t="inlineStr"/>
      <c r="L73" s="15" t="inlineStr"/>
      <c r="M73" s="15" t="inlineStr"/>
      <c r="N73" s="17" t="inlineStr">
        <is>
          <t>☐</t>
        </is>
      </c>
    </row>
    <row r="74" ht="18" customHeight="1">
      <c r="A74" s="10" t="inlineStr">
        <is>
          <t>9 – Panels</t>
        </is>
      </c>
      <c r="B74" s="10" t="inlineStr">
        <is>
          <t>Misc</t>
        </is>
      </c>
      <c r="C74" s="11" t="inlineStr">
        <is>
          <t>Single Sided Foam Tape 3mm Thick (5m)</t>
        </is>
      </c>
      <c r="D74" s="12" t="n">
        <v>1</v>
      </c>
      <c r="E74" s="13" t="inlineStr">
        <is>
          <t>Buy when needed</t>
        </is>
      </c>
      <c r="F74" s="11" t="inlineStr">
        <is>
          <t>Panel sealing</t>
        </is>
      </c>
      <c r="G74" s="12" t="inlineStr"/>
      <c r="H74" s="14">
        <f>IF(ISNUMBER(G74),D74*G74,"")</f>
        <v/>
      </c>
      <c r="I74" s="5" t="inlineStr">
        <is>
          <t>Research</t>
        </is>
      </c>
      <c r="J74" s="11" t="inlineStr"/>
      <c r="K74" s="10" t="inlineStr"/>
      <c r="L74" s="10" t="inlineStr"/>
      <c r="M74" s="10" t="inlineStr"/>
      <c r="N74" s="12" t="inlineStr">
        <is>
          <t>☐</t>
        </is>
      </c>
    </row>
    <row r="75" ht="18" customHeight="1">
      <c r="A75" s="15" t="inlineStr">
        <is>
          <t>9 – Panels</t>
        </is>
      </c>
      <c r="B75" s="15" t="inlineStr">
        <is>
          <t>Panels</t>
        </is>
      </c>
      <c r="C75" s="16" t="inlineStr">
        <is>
          <t>Coroplast Sheet - 419x419x4 mm</t>
        </is>
      </c>
      <c r="D75" s="17" t="n">
        <v>2</v>
      </c>
      <c r="E75" s="18" t="inlineStr">
        <is>
          <t>Buy when needed</t>
        </is>
      </c>
      <c r="F75" s="16" t="inlineStr">
        <is>
          <t>Side/back panels</t>
        </is>
      </c>
      <c r="G75" s="17" t="inlineStr"/>
      <c r="H75" s="19">
        <f>IF(ISNUMBER(G75),D75*G75,"")</f>
        <v/>
      </c>
      <c r="I75" s="5" t="inlineStr">
        <is>
          <t>Research</t>
        </is>
      </c>
      <c r="J75" s="16" t="inlineStr"/>
      <c r="K75" s="15" t="inlineStr"/>
      <c r="L75" s="15" t="inlineStr"/>
      <c r="M75" s="15" t="inlineStr"/>
      <c r="N75" s="17" t="inlineStr">
        <is>
          <t>☐</t>
        </is>
      </c>
    </row>
    <row r="76" ht="18" customHeight="1">
      <c r="A76" s="10" t="inlineStr">
        <is>
          <t>9 – Panels</t>
        </is>
      </c>
      <c r="B76" s="10" t="inlineStr">
        <is>
          <t>Panels</t>
        </is>
      </c>
      <c r="C76" s="11" t="inlineStr">
        <is>
          <t>Coroplast Sheet - 433x453x4 mm</t>
        </is>
      </c>
      <c r="D76" s="12" t="n">
        <v>1</v>
      </c>
      <c r="E76" s="13" t="inlineStr">
        <is>
          <t>Buy when needed</t>
        </is>
      </c>
      <c r="F76" s="11" t="inlineStr">
        <is>
          <t>Bottom panel</t>
        </is>
      </c>
      <c r="G76" s="12" t="inlineStr"/>
      <c r="H76" s="14">
        <f>IF(ISNUMBER(G76),D76*G76,"")</f>
        <v/>
      </c>
      <c r="I76" s="5" t="inlineStr">
        <is>
          <t>Research</t>
        </is>
      </c>
      <c r="J76" s="11" t="inlineStr"/>
      <c r="K76" s="10" t="inlineStr"/>
      <c r="L76" s="10" t="inlineStr"/>
      <c r="M76" s="10" t="inlineStr"/>
      <c r="N76" s="12" t="inlineStr">
        <is>
          <t>☐</t>
        </is>
      </c>
    </row>
    <row r="77" ht="18" customHeight="1">
      <c r="A77" s="15" t="inlineStr">
        <is>
          <t>9 – Panels</t>
        </is>
      </c>
      <c r="B77" s="15" t="inlineStr">
        <is>
          <t>Panels</t>
        </is>
      </c>
      <c r="C77" s="16" t="inlineStr">
        <is>
          <t>Acrylic Sheet Clear - 216.5x453x3 mm</t>
        </is>
      </c>
      <c r="D77" s="17" t="n">
        <v>2</v>
      </c>
      <c r="E77" s="18" t="inlineStr">
        <is>
          <t>Buy when needed</t>
        </is>
      </c>
      <c r="F77" s="16" t="inlineStr">
        <is>
          <t>Front door panels × 2</t>
        </is>
      </c>
      <c r="G77" s="17" t="inlineStr"/>
      <c r="H77" s="19">
        <f>IF(ISNUMBER(G77),D77*G77,"")</f>
        <v/>
      </c>
      <c r="I77" s="5" t="inlineStr">
        <is>
          <t>Research</t>
        </is>
      </c>
      <c r="J77" s="16" t="inlineStr"/>
      <c r="K77" s="15" t="inlineStr"/>
      <c r="L77" s="15" t="inlineStr"/>
      <c r="M77" s="15" t="inlineStr"/>
      <c r="N77" s="17" t="inlineStr">
        <is>
          <t>☐</t>
        </is>
      </c>
    </row>
    <row r="78" ht="18" customHeight="1">
      <c r="A78" s="10" t="inlineStr">
        <is>
          <t>9 – Panels</t>
        </is>
      </c>
      <c r="B78" s="10" t="inlineStr">
        <is>
          <t>Panels</t>
        </is>
      </c>
      <c r="C78" s="11" t="inlineStr">
        <is>
          <t>Acrylic Sheet Clear - 433x453x3 mm</t>
        </is>
      </c>
      <c r="D78" s="12" t="n">
        <v>2</v>
      </c>
      <c r="E78" s="13" t="inlineStr">
        <is>
          <t>Buy when needed</t>
        </is>
      </c>
      <c r="F78" s="11" t="inlineStr">
        <is>
          <t>Side panels × 2</t>
        </is>
      </c>
      <c r="G78" s="12" t="inlineStr"/>
      <c r="H78" s="14">
        <f>IF(ISNUMBER(G78),D78*G78,"")</f>
        <v/>
      </c>
      <c r="I78" s="5" t="inlineStr">
        <is>
          <t>Research</t>
        </is>
      </c>
      <c r="J78" s="11" t="inlineStr"/>
      <c r="K78" s="10" t="inlineStr"/>
      <c r="L78" s="10" t="inlineStr"/>
      <c r="M78" s="10" t="inlineStr"/>
      <c r="N78" s="12" t="inlineStr">
        <is>
          <t>☐</t>
        </is>
      </c>
    </row>
    <row r="79" ht="18" customHeight="1">
      <c r="A79" s="15" t="inlineStr">
        <is>
          <t>9 – Panels</t>
        </is>
      </c>
      <c r="B79" s="15" t="inlineStr">
        <is>
          <t>Panels</t>
        </is>
      </c>
      <c r="C79" s="16" t="inlineStr">
        <is>
          <t>Acrylic Sheet Clear - 433x433x3 mm</t>
        </is>
      </c>
      <c r="D79" s="17" t="n">
        <v>1</v>
      </c>
      <c r="E79" s="18" t="inlineStr">
        <is>
          <t>Buy when needed</t>
        </is>
      </c>
      <c r="F79" s="16" t="inlineStr">
        <is>
          <t>Top panel</t>
        </is>
      </c>
      <c r="G79" s="17" t="inlineStr"/>
      <c r="H79" s="19">
        <f>IF(ISNUMBER(G79),D79*G79,"")</f>
        <v/>
      </c>
      <c r="I79" s="5" t="inlineStr">
        <is>
          <t>Research</t>
        </is>
      </c>
      <c r="J79" s="16" t="inlineStr"/>
      <c r="K79" s="15" t="inlineStr"/>
      <c r="L79" s="15" t="inlineStr"/>
      <c r="M79" s="15" t="inlineStr"/>
      <c r="N79" s="17" t="inlineStr">
        <is>
          <t>☐</t>
        </is>
      </c>
    </row>
    <row r="80" ht="20" customHeight="1">
      <c r="A80" s="4" t="inlineStr">
        <is>
          <t xml:space="preserve">  ▶  11 – EXHAUST FILTER  —  Buy these parts before this assembly step</t>
        </is>
      </c>
    </row>
    <row r="81" ht="18" customHeight="1">
      <c r="A81" s="15" t="inlineStr">
        <is>
          <t>11 – Exhaust Filter</t>
        </is>
      </c>
      <c r="B81" s="15" t="inlineStr">
        <is>
          <t>Misc</t>
        </is>
      </c>
      <c r="C81" s="16" t="inlineStr">
        <is>
          <t>Fume Extractor Carbon Filter Element</t>
        </is>
      </c>
      <c r="D81" s="17" t="n">
        <v>1</v>
      </c>
      <c r="E81" s="18" t="inlineStr">
        <is>
          <t>Buy when needed</t>
        </is>
      </c>
      <c r="F81" s="16" t="inlineStr">
        <is>
          <t>Exhaust filter carbon</t>
        </is>
      </c>
      <c r="G81" s="17" t="inlineStr"/>
      <c r="H81" s="19">
        <f>IF(ISNUMBER(G81),D81*G81,"")</f>
        <v/>
      </c>
      <c r="I81" s="5" t="inlineStr">
        <is>
          <t>Research</t>
        </is>
      </c>
      <c r="J81" s="16" t="inlineStr"/>
      <c r="K81" s="15" t="inlineStr"/>
      <c r="L81" s="15" t="inlineStr"/>
      <c r="M81" s="15" t="inlineStr"/>
      <c r="N81" s="17" t="inlineStr">
        <is>
          <t>☐</t>
        </is>
      </c>
    </row>
    <row r="82" ht="20" customHeight="1">
      <c r="A82" s="4" t="inlineStr">
        <is>
          <t xml:space="preserve">  ▶  12 – ELECTRONICS  —  Buy these parts before this assembly step</t>
        </is>
      </c>
    </row>
    <row r="83" ht="18" customHeight="1">
      <c r="A83" s="5" t="inlineStr">
        <is>
          <t>12 – Electronics</t>
        </is>
      </c>
      <c r="B83" s="5" t="inlineStr">
        <is>
          <t>Fasteners</t>
        </is>
      </c>
      <c r="C83" s="6" t="inlineStr">
        <is>
          <t>M3x50 SHCS</t>
        </is>
      </c>
      <c r="D83" s="7" t="n">
        <v>2</v>
      </c>
      <c r="E83" s="8" t="inlineStr">
        <is>
          <t>⚡ Buy All Now</t>
        </is>
      </c>
      <c r="F83" s="6" t="inlineStr">
        <is>
          <t>Electronics bay</t>
        </is>
      </c>
      <c r="G83" s="7" t="inlineStr"/>
      <c r="H83" s="9">
        <f>IF(ISNUMBER(G83),D83*G83,"")</f>
        <v/>
      </c>
      <c r="I83" s="5" t="inlineStr">
        <is>
          <t>Research</t>
        </is>
      </c>
      <c r="J83" s="6" t="inlineStr"/>
      <c r="K83" s="5" t="inlineStr"/>
      <c r="L83" s="5" t="inlineStr"/>
      <c r="M83" s="5" t="inlineStr"/>
      <c r="N83" s="7" t="inlineStr">
        <is>
          <t>☐</t>
        </is>
      </c>
    </row>
    <row r="84" ht="18" customHeight="1">
      <c r="A84" s="5" t="inlineStr">
        <is>
          <t>12 – Electronics</t>
        </is>
      </c>
      <c r="B84" s="5" t="inlineStr">
        <is>
          <t>Fasteners</t>
        </is>
      </c>
      <c r="C84" s="6" t="inlineStr">
        <is>
          <t>M2x10 Self-tapping Screw</t>
        </is>
      </c>
      <c r="D84" s="7" t="n">
        <v>18</v>
      </c>
      <c r="E84" s="8" t="inlineStr">
        <is>
          <t>⚡ Buy All Now</t>
        </is>
      </c>
      <c r="F84" s="6" t="inlineStr">
        <is>
          <t>Electronics/fan mounting</t>
        </is>
      </c>
      <c r="G84" s="7" t="inlineStr"/>
      <c r="H84" s="9">
        <f>IF(ISNUMBER(G84),D84*G84,"")</f>
        <v/>
      </c>
      <c r="I84" s="5" t="inlineStr">
        <is>
          <t>Research</t>
        </is>
      </c>
      <c r="J84" s="6" t="inlineStr"/>
      <c r="K84" s="5" t="inlineStr"/>
      <c r="L84" s="5" t="inlineStr"/>
      <c r="M84" s="5" t="inlineStr"/>
      <c r="N84" s="7" t="inlineStr">
        <is>
          <t>☐</t>
        </is>
      </c>
    </row>
    <row r="85" ht="18" customHeight="1">
      <c r="A85" s="15" t="inlineStr">
        <is>
          <t>12 – Electronics</t>
        </is>
      </c>
      <c r="B85" s="15" t="inlineStr">
        <is>
          <t>Electronics</t>
        </is>
      </c>
      <c r="C85" s="16" t="inlineStr">
        <is>
          <t>ZF Rocker Switch DPST 16A ON-OFF</t>
        </is>
      </c>
      <c r="D85" s="17" t="n">
        <v>1</v>
      </c>
      <c r="E85" s="18" t="inlineStr">
        <is>
          <t>Buy when needed</t>
        </is>
      </c>
      <c r="F85" s="16" t="inlineStr">
        <is>
          <t>Power switch</t>
        </is>
      </c>
      <c r="G85" s="17" t="inlineStr"/>
      <c r="H85" s="19">
        <f>IF(ISNUMBER(G85),D85*G85,"")</f>
        <v/>
      </c>
      <c r="I85" s="5" t="inlineStr">
        <is>
          <t>Research</t>
        </is>
      </c>
      <c r="J85" s="16" t="inlineStr"/>
      <c r="K85" s="15" t="inlineStr"/>
      <c r="L85" s="15" t="inlineStr"/>
      <c r="M85" s="15" t="inlineStr"/>
      <c r="N85" s="17" t="inlineStr">
        <is>
          <t>☐</t>
        </is>
      </c>
    </row>
    <row r="86" ht="18" customHeight="1">
      <c r="A86" s="10" t="inlineStr">
        <is>
          <t>12 – Electronics</t>
        </is>
      </c>
      <c r="B86" s="10" t="inlineStr">
        <is>
          <t>Electronics</t>
        </is>
      </c>
      <c r="C86" s="11" t="inlineStr">
        <is>
          <t>TycoElectronics 10EGG1-1 Filtered Power Inlet (NA/UK)</t>
        </is>
      </c>
      <c r="D86" s="12" t="n">
        <v>1</v>
      </c>
      <c r="E86" s="13" t="inlineStr">
        <is>
          <t>Buy when needed</t>
        </is>
      </c>
      <c r="F86" s="11" t="inlineStr">
        <is>
          <t>Mains inlet (NA/UK)</t>
        </is>
      </c>
      <c r="G86" s="12" t="inlineStr"/>
      <c r="H86" s="14">
        <f>IF(ISNUMBER(G86),D86*G86,"")</f>
        <v/>
      </c>
      <c r="I86" s="5" t="inlineStr">
        <is>
          <t>Research</t>
        </is>
      </c>
      <c r="J86" s="11" t="inlineStr"/>
      <c r="K86" s="10" t="inlineStr"/>
      <c r="L86" s="10" t="inlineStr"/>
      <c r="M86" s="10" t="inlineStr"/>
      <c r="N86" s="12" t="inlineStr">
        <is>
          <t>☐</t>
        </is>
      </c>
    </row>
    <row r="87" ht="18" customHeight="1">
      <c r="A87" s="15" t="inlineStr">
        <is>
          <t>12 – Electronics</t>
        </is>
      </c>
      <c r="B87" s="15" t="inlineStr">
        <is>
          <t>Electronics</t>
        </is>
      </c>
      <c r="C87" s="16" t="inlineStr">
        <is>
          <t>TycoElectronics 10EGG1-2 Filtered Power Inlet (EU)</t>
        </is>
      </c>
      <c r="D87" s="17" t="n">
        <v>1</v>
      </c>
      <c r="E87" s="18" t="inlineStr">
        <is>
          <t>Buy when needed</t>
        </is>
      </c>
      <c r="F87" s="16" t="inlineStr">
        <is>
          <t>Mains inlet (EU) — pick one</t>
        </is>
      </c>
      <c r="G87" s="17" t="inlineStr"/>
      <c r="H87" s="19">
        <f>IF(ISNUMBER(G87),D87*G87,"")</f>
        <v/>
      </c>
      <c r="I87" s="5" t="inlineStr">
        <is>
          <t>Research</t>
        </is>
      </c>
      <c r="J87" s="16" t="inlineStr"/>
      <c r="K87" s="15" t="inlineStr"/>
      <c r="L87" s="15" t="inlineStr"/>
      <c r="M87" s="15" t="inlineStr"/>
      <c r="N87" s="17" t="inlineStr">
        <is>
          <t>☐</t>
        </is>
      </c>
    </row>
    <row r="88" ht="18" customHeight="1">
      <c r="A88" s="5" t="inlineStr">
        <is>
          <t>12 – Electronics</t>
        </is>
      </c>
      <c r="B88" s="5" t="inlineStr">
        <is>
          <t>Electronics</t>
        </is>
      </c>
      <c r="C88" s="6" t="inlineStr">
        <is>
          <t>Medium Blow Fuse 5x20mm 4A (220V mains)</t>
        </is>
      </c>
      <c r="D88" s="7" t="n">
        <v>2</v>
      </c>
      <c r="E88" s="8" t="inlineStr">
        <is>
          <t>⚡ Buy All Now</t>
        </is>
      </c>
      <c r="F88" s="6" t="inlineStr">
        <is>
          <t>Spare fuses — buy both variants</t>
        </is>
      </c>
      <c r="G88" s="7" t="inlineStr"/>
      <c r="H88" s="9">
        <f>IF(ISNUMBER(G88),D88*G88,"")</f>
        <v/>
      </c>
      <c r="I88" s="5" t="inlineStr">
        <is>
          <t>Research</t>
        </is>
      </c>
      <c r="J88" s="6" t="inlineStr"/>
      <c r="K88" s="5" t="inlineStr"/>
      <c r="L88" s="5" t="inlineStr"/>
      <c r="M88" s="5" t="inlineStr"/>
      <c r="N88" s="7" t="inlineStr">
        <is>
          <t>☐</t>
        </is>
      </c>
    </row>
    <row r="89" ht="18" customHeight="1">
      <c r="A89" s="5" t="inlineStr">
        <is>
          <t>12 – Electronics</t>
        </is>
      </c>
      <c r="B89" s="5" t="inlineStr">
        <is>
          <t>Electronics</t>
        </is>
      </c>
      <c r="C89" s="6" t="inlineStr">
        <is>
          <t>Medium Blow Fuse 5x20mm 8A (120v mains)</t>
        </is>
      </c>
      <c r="D89" s="7" t="n">
        <v>1</v>
      </c>
      <c r="E89" s="8" t="inlineStr">
        <is>
          <t>⚡ Buy All Now</t>
        </is>
      </c>
      <c r="F89" s="6" t="inlineStr">
        <is>
          <t>Spare fuses — buy both variants</t>
        </is>
      </c>
      <c r="G89" s="7" t="inlineStr"/>
      <c r="H89" s="9">
        <f>IF(ISNUMBER(G89),D89*G89,"")</f>
        <v/>
      </c>
      <c r="I89" s="5" t="inlineStr">
        <is>
          <t>Research</t>
        </is>
      </c>
      <c r="J89" s="6" t="inlineStr"/>
      <c r="K89" s="5" t="inlineStr"/>
      <c r="L89" s="5" t="inlineStr"/>
      <c r="M89" s="5" t="inlineStr"/>
      <c r="N89" s="7" t="inlineStr">
        <is>
          <t>☐</t>
        </is>
      </c>
    </row>
    <row r="90" ht="18" customHeight="1">
      <c r="A90" s="10" t="inlineStr">
        <is>
          <t>12 – Electronics</t>
        </is>
      </c>
      <c r="B90" s="10" t="inlineStr">
        <is>
          <t>Electronics</t>
        </is>
      </c>
      <c r="C90" s="11" t="inlineStr">
        <is>
          <t>Keystone CAT6 Insert (Optional)</t>
        </is>
      </c>
      <c r="D90" s="12" t="n">
        <v>1</v>
      </c>
      <c r="E90" s="13" t="inlineStr">
        <is>
          <t>Buy when needed</t>
        </is>
      </c>
      <c r="F90" s="11" t="inlineStr">
        <is>
          <t>Optional network port in skirt</t>
        </is>
      </c>
      <c r="G90" s="12" t="inlineStr"/>
      <c r="H90" s="14">
        <f>IF(ISNUMBER(G90),D90*G90,"")</f>
        <v/>
      </c>
      <c r="I90" s="5" t="inlineStr">
        <is>
          <t>Research</t>
        </is>
      </c>
      <c r="J90" s="11" t="inlineStr"/>
      <c r="K90" s="10" t="inlineStr"/>
      <c r="L90" s="10" t="inlineStr"/>
      <c r="M90" s="10" t="inlineStr"/>
      <c r="N90" s="12" t="inlineStr">
        <is>
          <t>☐</t>
        </is>
      </c>
    </row>
    <row r="91" ht="18" customHeight="1">
      <c r="A91" s="15" t="inlineStr">
        <is>
          <t>12 – Electronics</t>
        </is>
      </c>
      <c r="B91" s="15" t="inlineStr">
        <is>
          <t>Electronics</t>
        </is>
      </c>
      <c r="C91" s="16" t="inlineStr">
        <is>
          <t>Controller with 7+ Stepper outputs</t>
        </is>
      </c>
      <c r="D91" s="17" t="n">
        <v>1</v>
      </c>
      <c r="E91" s="18" t="inlineStr">
        <is>
          <t>Buy when needed</t>
        </is>
      </c>
      <c r="F91" s="16" t="inlineStr">
        <is>
          <t>Main MCU (e.g. BTT Octopus)</t>
        </is>
      </c>
      <c r="G91" s="17" t="inlineStr"/>
      <c r="H91" s="19">
        <f>IF(ISNUMBER(G91),D91*G91,"")</f>
        <v/>
      </c>
      <c r="I91" s="5" t="inlineStr">
        <is>
          <t>Research</t>
        </is>
      </c>
      <c r="J91" s="16" t="inlineStr"/>
      <c r="K91" s="15" t="inlineStr"/>
      <c r="L91" s="15" t="inlineStr"/>
      <c r="M91" s="15" t="inlineStr"/>
      <c r="N91" s="17" t="inlineStr">
        <is>
          <t>☐</t>
        </is>
      </c>
    </row>
    <row r="92" ht="18" customHeight="1">
      <c r="A92" s="5" t="inlineStr">
        <is>
          <t>12 – Electronics</t>
        </is>
      </c>
      <c r="B92" s="5" t="inlineStr">
        <is>
          <t>Electronics</t>
        </is>
      </c>
      <c r="C92" s="6" t="inlineStr">
        <is>
          <t>TMC2209 Stepper Motor Driver</t>
        </is>
      </c>
      <c r="D92" s="7" t="n">
        <v>7</v>
      </c>
      <c r="E92" s="8" t="inlineStr">
        <is>
          <t>⚡ Buy All Now</t>
        </is>
      </c>
      <c r="F92" s="6" t="inlineStr">
        <is>
          <t>Motor drivers — buy all 7</t>
        </is>
      </c>
      <c r="G92" s="7" t="inlineStr"/>
      <c r="H92" s="9">
        <f>IF(ISNUMBER(G92),D92*G92,"")</f>
        <v/>
      </c>
      <c r="I92" s="5" t="inlineStr">
        <is>
          <t>Research</t>
        </is>
      </c>
      <c r="J92" s="6" t="inlineStr"/>
      <c r="K92" s="5" t="inlineStr"/>
      <c r="L92" s="5" t="inlineStr"/>
      <c r="M92" s="5" t="inlineStr"/>
      <c r="N92" s="7" t="inlineStr">
        <is>
          <t>☐</t>
        </is>
      </c>
    </row>
    <row r="93" ht="18" customHeight="1">
      <c r="A93" s="15" t="inlineStr">
        <is>
          <t>12 – Electronics</t>
        </is>
      </c>
      <c r="B93" s="15" t="inlineStr">
        <is>
          <t>Electronics</t>
        </is>
      </c>
      <c r="C93" s="16" t="inlineStr">
        <is>
          <t>USB Cable for selected controller</t>
        </is>
      </c>
      <c r="D93" s="17" t="n">
        <v>1</v>
      </c>
      <c r="E93" s="18" t="inlineStr">
        <is>
          <t>Buy when needed</t>
        </is>
      </c>
      <c r="F93" s="16" t="inlineStr">
        <is>
          <t>MCU to RPi USB</t>
        </is>
      </c>
      <c r="G93" s="17" t="inlineStr"/>
      <c r="H93" s="19">
        <f>IF(ISNUMBER(G93),D93*G93,"")</f>
        <v/>
      </c>
      <c r="I93" s="5" t="inlineStr">
        <is>
          <t>Research</t>
        </is>
      </c>
      <c r="J93" s="16" t="inlineStr"/>
      <c r="K93" s="15" t="inlineStr"/>
      <c r="L93" s="15" t="inlineStr"/>
      <c r="M93" s="15" t="inlineStr"/>
      <c r="N93" s="17" t="inlineStr">
        <is>
          <t>☐</t>
        </is>
      </c>
    </row>
    <row r="94" ht="18" customHeight="1">
      <c r="A94" s="10" t="inlineStr">
        <is>
          <t>12 – Electronics</t>
        </is>
      </c>
      <c r="B94" s="10" t="inlineStr">
        <is>
          <t>Electronics</t>
        </is>
      </c>
      <c r="C94" s="11" t="inlineStr">
        <is>
          <t>RaspberryPi 3B+ or better</t>
        </is>
      </c>
      <c r="D94" s="12" t="n">
        <v>1</v>
      </c>
      <c r="E94" s="13" t="inlineStr">
        <is>
          <t>Buy when needed</t>
        </is>
      </c>
      <c r="F94" s="11" t="inlineStr">
        <is>
          <t>Klipper host SBC</t>
        </is>
      </c>
      <c r="G94" s="12" t="inlineStr"/>
      <c r="H94" s="14">
        <f>IF(ISNUMBER(G94),D94*G94,"")</f>
        <v/>
      </c>
      <c r="I94" s="5" t="inlineStr">
        <is>
          <t>Research</t>
        </is>
      </c>
      <c r="J94" s="11" t="inlineStr"/>
      <c r="K94" s="10" t="inlineStr"/>
      <c r="L94" s="10" t="inlineStr"/>
      <c r="M94" s="10" t="inlineStr"/>
      <c r="N94" s="12" t="inlineStr">
        <is>
          <t>☐</t>
        </is>
      </c>
    </row>
    <row r="95" ht="18" customHeight="1">
      <c r="A95" s="15" t="inlineStr">
        <is>
          <t>12 – Electronics</t>
        </is>
      </c>
      <c r="B95" s="15" t="inlineStr">
        <is>
          <t>Electronics</t>
        </is>
      </c>
      <c r="C95" s="16" t="inlineStr">
        <is>
          <t>Mean Well LRS-200-24 PSU</t>
        </is>
      </c>
      <c r="D95" s="17" t="n">
        <v>1</v>
      </c>
      <c r="E95" s="18" t="inlineStr">
        <is>
          <t>Buy when needed</t>
        </is>
      </c>
      <c r="F95" s="16" t="inlineStr">
        <is>
          <t>Main 24V PSU</t>
        </is>
      </c>
      <c r="G95" s="17" t="inlineStr"/>
      <c r="H95" s="19">
        <f>IF(ISNUMBER(G95),D95*G95,"")</f>
        <v/>
      </c>
      <c r="I95" s="5" t="inlineStr">
        <is>
          <t>Research</t>
        </is>
      </c>
      <c r="J95" s="16" t="inlineStr"/>
      <c r="K95" s="15" t="inlineStr"/>
      <c r="L95" s="15" t="inlineStr"/>
      <c r="M95" s="15" t="inlineStr"/>
      <c r="N95" s="17" t="inlineStr">
        <is>
          <t>☐</t>
        </is>
      </c>
    </row>
    <row r="96" ht="18" customHeight="1">
      <c r="A96" s="10" t="inlineStr">
        <is>
          <t>12 – Electronics</t>
        </is>
      </c>
      <c r="B96" s="10" t="inlineStr">
        <is>
          <t>Electronics</t>
        </is>
      </c>
      <c r="C96" s="11" t="inlineStr">
        <is>
          <t>Mean Well RS-25-5 PSU</t>
        </is>
      </c>
      <c r="D96" s="12" t="n">
        <v>1</v>
      </c>
      <c r="E96" s="13" t="inlineStr">
        <is>
          <t>Buy when needed</t>
        </is>
      </c>
      <c r="F96" s="11" t="inlineStr">
        <is>
          <t>5V RPi PSU</t>
        </is>
      </c>
      <c r="G96" s="12" t="inlineStr"/>
      <c r="H96" s="14">
        <f>IF(ISNUMBER(G96),D96*G96,"")</f>
        <v/>
      </c>
      <c r="I96" s="5" t="inlineStr">
        <is>
          <t>Research</t>
        </is>
      </c>
      <c r="J96" s="11" t="inlineStr"/>
      <c r="K96" s="10" t="inlineStr"/>
      <c r="L96" s="10" t="inlineStr"/>
      <c r="M96" s="10" t="inlineStr"/>
      <c r="N96" s="12" t="inlineStr">
        <is>
          <t>☐</t>
        </is>
      </c>
    </row>
    <row r="97" ht="18" customHeight="1">
      <c r="A97" s="15" t="inlineStr">
        <is>
          <t>12 – Electronics</t>
        </is>
      </c>
      <c r="B97" s="15" t="inlineStr">
        <is>
          <t>Electronics</t>
        </is>
      </c>
      <c r="C97" s="16" t="inlineStr">
        <is>
          <t>Omron G3A-210B-DC5 SSR</t>
        </is>
      </c>
      <c r="D97" s="17" t="n">
        <v>1</v>
      </c>
      <c r="E97" s="18" t="inlineStr">
        <is>
          <t>Buy when needed</t>
        </is>
      </c>
      <c r="F97" s="16" t="inlineStr">
        <is>
          <t>Bed SSR</t>
        </is>
      </c>
      <c r="G97" s="17" t="inlineStr"/>
      <c r="H97" s="19">
        <f>IF(ISNUMBER(G97),D97*G97,"")</f>
        <v/>
      </c>
      <c r="I97" s="5" t="inlineStr">
        <is>
          <t>Research</t>
        </is>
      </c>
      <c r="J97" s="16" t="inlineStr"/>
      <c r="K97" s="15" t="inlineStr"/>
      <c r="L97" s="15" t="inlineStr"/>
      <c r="M97" s="15" t="inlineStr"/>
      <c r="N97" s="17" t="inlineStr">
        <is>
          <t>☐</t>
        </is>
      </c>
    </row>
    <row r="98" ht="18" customHeight="1">
      <c r="A98" s="10" t="inlineStr">
        <is>
          <t>12 – Electronics</t>
        </is>
      </c>
      <c r="B98" s="10" t="inlineStr">
        <is>
          <t>Electronics</t>
        </is>
      </c>
      <c r="C98" s="11" t="inlineStr">
        <is>
          <t>DIN Rail Mount Bracket for G3A SSR</t>
        </is>
      </c>
      <c r="D98" s="12" t="n">
        <v>1</v>
      </c>
      <c r="E98" s="13" t="inlineStr">
        <is>
          <t>Buy when needed</t>
        </is>
      </c>
      <c r="F98" s="11" t="inlineStr">
        <is>
          <t>SSR DIN bracket</t>
        </is>
      </c>
      <c r="G98" s="12" t="inlineStr"/>
      <c r="H98" s="14">
        <f>IF(ISNUMBER(G98),D98*G98,"")</f>
        <v/>
      </c>
      <c r="I98" s="5" t="inlineStr">
        <is>
          <t>Research</t>
        </is>
      </c>
      <c r="J98" s="11" t="inlineStr"/>
      <c r="K98" s="10" t="inlineStr"/>
      <c r="L98" s="10" t="inlineStr"/>
      <c r="M98" s="10" t="inlineStr"/>
      <c r="N98" s="12" t="inlineStr">
        <is>
          <t>☐</t>
        </is>
      </c>
    </row>
    <row r="99" ht="18" customHeight="1">
      <c r="A99" s="15" t="inlineStr">
        <is>
          <t>12 – Electronics</t>
        </is>
      </c>
      <c r="B99" s="15" t="inlineStr">
        <is>
          <t>Electronics</t>
        </is>
      </c>
      <c r="C99" s="16" t="inlineStr">
        <is>
          <t>BAT85 Diode</t>
        </is>
      </c>
      <c r="D99" s="17" t="n">
        <v>1</v>
      </c>
      <c r="E99" s="18" t="inlineStr">
        <is>
          <t>Buy when needed</t>
        </is>
      </c>
      <c r="F99" s="16" t="inlineStr">
        <is>
          <t>Probe signal conditioning</t>
        </is>
      </c>
      <c r="G99" s="17" t="inlineStr"/>
      <c r="H99" s="19">
        <f>IF(ISNUMBER(G99),D99*G99,"")</f>
        <v/>
      </c>
      <c r="I99" s="5" t="inlineStr">
        <is>
          <t>Research</t>
        </is>
      </c>
      <c r="J99" s="16" t="inlineStr"/>
      <c r="K99" s="15" t="inlineStr"/>
      <c r="L99" s="15" t="inlineStr"/>
      <c r="M99" s="15" t="inlineStr"/>
      <c r="N99" s="17" t="inlineStr">
        <is>
          <t>☐</t>
        </is>
      </c>
    </row>
    <row r="100" ht="18" customHeight="1">
      <c r="A100" s="10" t="inlineStr">
        <is>
          <t>12 – Electronics</t>
        </is>
      </c>
      <c r="B100" s="10" t="inlineStr">
        <is>
          <t>Electronics</t>
        </is>
      </c>
      <c r="C100" s="11" t="inlineStr">
        <is>
          <t>C13 Power Cord</t>
        </is>
      </c>
      <c r="D100" s="12" t="n">
        <v>1</v>
      </c>
      <c r="E100" s="13" t="inlineStr">
        <is>
          <t>Buy when needed</t>
        </is>
      </c>
      <c r="F100" s="11" t="inlineStr">
        <is>
          <t>Mains power cord</t>
        </is>
      </c>
      <c r="G100" s="12" t="inlineStr"/>
      <c r="H100" s="14">
        <f>IF(ISNUMBER(G100),D100*G100,"")</f>
        <v/>
      </c>
      <c r="I100" s="5" t="inlineStr">
        <is>
          <t>Research</t>
        </is>
      </c>
      <c r="J100" s="11" t="inlineStr"/>
      <c r="K100" s="10" t="inlineStr"/>
      <c r="L100" s="10" t="inlineStr"/>
      <c r="M100" s="10" t="inlineStr"/>
      <c r="N100" s="12" t="inlineStr">
        <is>
          <t>☐</t>
        </is>
      </c>
    </row>
    <row r="101" ht="18" customHeight="1">
      <c r="A101" s="15" t="inlineStr">
        <is>
          <t>12 – Electronics</t>
        </is>
      </c>
      <c r="B101" s="15" t="inlineStr">
        <is>
          <t>Frame</t>
        </is>
      </c>
      <c r="C101" s="16" t="inlineStr">
        <is>
          <t>DIN 3 Rails (35mm W) - 415mm</t>
        </is>
      </c>
      <c r="D101" s="17" t="n">
        <v>2</v>
      </c>
      <c r="E101" s="18" t="inlineStr">
        <is>
          <t>Buy when needed</t>
        </is>
      </c>
      <c r="F101" s="16" t="inlineStr">
        <is>
          <t>Electronics DIN rail</t>
        </is>
      </c>
      <c r="G101" s="17" t="inlineStr"/>
      <c r="H101" s="19">
        <f>IF(ISNUMBER(G101),D101*G101,"")</f>
        <v/>
      </c>
      <c r="I101" s="5" t="inlineStr">
        <is>
          <t>Research</t>
        </is>
      </c>
      <c r="J101" s="16" t="inlineStr"/>
      <c r="K101" s="15" t="inlineStr"/>
      <c r="L101" s="15" t="inlineStr"/>
      <c r="M101" s="15" t="inlineStr"/>
      <c r="N101" s="17" t="inlineStr">
        <is>
          <t>☐</t>
        </is>
      </c>
    </row>
    <row r="102" ht="18" customHeight="1">
      <c r="A102" s="5" t="inlineStr">
        <is>
          <t>12 – Electronics</t>
        </is>
      </c>
      <c r="B102" s="5" t="inlineStr">
        <is>
          <t>Cables</t>
        </is>
      </c>
      <c r="C102" s="6" t="inlineStr">
        <is>
          <t>Nylon Cable Ties, Small (.07-.10", 1.8-2.7mm wide)</t>
        </is>
      </c>
      <c r="D102" s="7" t="n">
        <v>42</v>
      </c>
      <c r="E102" s="8" t="inlineStr">
        <is>
          <t>⚡ Buy All Now</t>
        </is>
      </c>
      <c r="F102" s="6" t="inlineStr">
        <is>
          <t>Buy all — used throughout wiring</t>
        </is>
      </c>
      <c r="G102" s="7" t="inlineStr"/>
      <c r="H102" s="9">
        <f>IF(ISNUMBER(G102),D102*G102,"")</f>
        <v/>
      </c>
      <c r="I102" s="5" t="inlineStr">
        <is>
          <t>Research</t>
        </is>
      </c>
      <c r="J102" s="6" t="inlineStr"/>
      <c r="K102" s="5" t="inlineStr"/>
      <c r="L102" s="5" t="inlineStr"/>
      <c r="M102" s="5" t="inlineStr"/>
      <c r="N102" s="7" t="inlineStr">
        <is>
          <t>☐</t>
        </is>
      </c>
    </row>
    <row r="103" ht="18" customHeight="1">
      <c r="A103" s="15" t="inlineStr">
        <is>
          <t>12 – Electronics</t>
        </is>
      </c>
      <c r="B103" s="15" t="inlineStr">
        <is>
          <t>Cables</t>
        </is>
      </c>
      <c r="C103" s="16" t="inlineStr">
        <is>
          <t>18AWG Wire (10ft/3m total)</t>
        </is>
      </c>
      <c r="D103" s="17" t="n">
        <v>1</v>
      </c>
      <c r="E103" s="18" t="inlineStr">
        <is>
          <t>Buy when needed</t>
        </is>
      </c>
      <c r="F103" s="16" t="inlineStr">
        <is>
          <t>Mains/bed power wiring</t>
        </is>
      </c>
      <c r="G103" s="17" t="inlineStr"/>
      <c r="H103" s="19">
        <f>IF(ISNUMBER(G103),D103*G103,"")</f>
        <v/>
      </c>
      <c r="I103" s="5" t="inlineStr">
        <is>
          <t>Research</t>
        </is>
      </c>
      <c r="J103" s="16" t="inlineStr"/>
      <c r="K103" s="15" t="inlineStr"/>
      <c r="L103" s="15" t="inlineStr"/>
      <c r="M103" s="15" t="inlineStr"/>
      <c r="N103" s="17" t="inlineStr">
        <is>
          <t>☐</t>
        </is>
      </c>
    </row>
    <row r="104" ht="18" customHeight="1">
      <c r="A104" s="10" t="inlineStr">
        <is>
          <t>12 – Electronics</t>
        </is>
      </c>
      <c r="B104" s="10" t="inlineStr">
        <is>
          <t>Cables</t>
        </is>
      </c>
      <c r="C104" s="11" t="inlineStr">
        <is>
          <t>20AWG High-flex Wire (10ft/3m total)</t>
        </is>
      </c>
      <c r="D104" s="12" t="n">
        <v>1</v>
      </c>
      <c r="E104" s="13" t="inlineStr">
        <is>
          <t>Buy when needed</t>
        </is>
      </c>
      <c r="F104" s="11" t="inlineStr">
        <is>
          <t>Motor &amp; heated bed wiring</t>
        </is>
      </c>
      <c r="G104" s="12" t="inlineStr"/>
      <c r="H104" s="14">
        <f>IF(ISNUMBER(G104),D104*G104,"")</f>
        <v/>
      </c>
      <c r="I104" s="5" t="inlineStr">
        <is>
          <t>Research</t>
        </is>
      </c>
      <c r="J104" s="11" t="inlineStr"/>
      <c r="K104" s="10" t="inlineStr"/>
      <c r="L104" s="10" t="inlineStr"/>
      <c r="M104" s="10" t="inlineStr"/>
      <c r="N104" s="12" t="inlineStr">
        <is>
          <t>☐</t>
        </is>
      </c>
    </row>
    <row r="105" ht="18" customHeight="1">
      <c r="A105" s="15" t="inlineStr">
        <is>
          <t>12 – Electronics</t>
        </is>
      </c>
      <c r="B105" s="15" t="inlineStr">
        <is>
          <t>Cables</t>
        </is>
      </c>
      <c r="C105" s="16" t="inlineStr">
        <is>
          <t>22-24AWG High-flex Wire (min 19 strand)(250ft/76m total)</t>
        </is>
      </c>
      <c r="D105" s="17" t="n">
        <v>1</v>
      </c>
      <c r="E105" s="18" t="inlineStr">
        <is>
          <t>Buy when needed</t>
        </is>
      </c>
      <c r="F105" s="16" t="inlineStr">
        <is>
          <t>Signal wiring throughout</t>
        </is>
      </c>
      <c r="G105" s="17" t="inlineStr"/>
      <c r="H105" s="19">
        <f>IF(ISNUMBER(G105),D105*G105,"")</f>
        <v/>
      </c>
      <c r="I105" s="5" t="inlineStr">
        <is>
          <t>Research</t>
        </is>
      </c>
      <c r="J105" s="16" t="inlineStr"/>
      <c r="K105" s="15" t="inlineStr"/>
      <c r="L105" s="15" t="inlineStr"/>
      <c r="M105" s="15" t="inlineStr"/>
      <c r="N105" s="17" t="inlineStr">
        <is>
          <t>☐</t>
        </is>
      </c>
    </row>
    <row r="106" ht="18" customHeight="1">
      <c r="A106" s="5" t="inlineStr">
        <is>
          <t>12 – Electronics</t>
        </is>
      </c>
      <c r="B106" s="5" t="inlineStr">
        <is>
          <t>Cables</t>
        </is>
      </c>
      <c r="C106" s="6" t="inlineStr">
        <is>
          <t>Female Spade Crimp Terminal (18-22AWG, .250", 6.35mm)</t>
        </is>
      </c>
      <c r="D106" s="7" t="n">
        <v>7</v>
      </c>
      <c r="E106" s="8" t="inlineStr">
        <is>
          <t>⚡ Buy All Now</t>
        </is>
      </c>
      <c r="F106" s="6" t="inlineStr">
        <is>
          <t>Crimp terminals — buy all</t>
        </is>
      </c>
      <c r="G106" s="7" t="inlineStr"/>
      <c r="H106" s="9">
        <f>IF(ISNUMBER(G106),D106*G106,"")</f>
        <v/>
      </c>
      <c r="I106" s="5" t="inlineStr">
        <is>
          <t>Research</t>
        </is>
      </c>
      <c r="J106" s="6" t="inlineStr"/>
      <c r="K106" s="5" t="inlineStr"/>
      <c r="L106" s="5" t="inlineStr"/>
      <c r="M106" s="5" t="inlineStr"/>
      <c r="N106" s="7" t="inlineStr">
        <is>
          <t>☐</t>
        </is>
      </c>
    </row>
    <row r="107" ht="18" customHeight="1">
      <c r="A107" s="5" t="inlineStr">
        <is>
          <t>12 – Electronics</t>
        </is>
      </c>
      <c r="B107" s="5" t="inlineStr">
        <is>
          <t>Cables</t>
        </is>
      </c>
      <c r="C107" s="6" t="inlineStr">
        <is>
          <t>Fork Spade Crimp Terminal (18-22AWG, #10)</t>
        </is>
      </c>
      <c r="D107" s="7" t="n">
        <v>5</v>
      </c>
      <c r="E107" s="8" t="inlineStr">
        <is>
          <t>⚡ Buy All Now</t>
        </is>
      </c>
      <c r="F107" s="6" t="inlineStr">
        <is>
          <t>Crimp terminals — buy all</t>
        </is>
      </c>
      <c r="G107" s="7" t="inlineStr"/>
      <c r="H107" s="9">
        <f>IF(ISNUMBER(G107),D107*G107,"")</f>
        <v/>
      </c>
      <c r="I107" s="5" t="inlineStr">
        <is>
          <t>Research</t>
        </is>
      </c>
      <c r="J107" s="6" t="inlineStr"/>
      <c r="K107" s="5" t="inlineStr"/>
      <c r="L107" s="5" t="inlineStr"/>
      <c r="M107" s="5" t="inlineStr"/>
      <c r="N107" s="7" t="inlineStr">
        <is>
          <t>☐</t>
        </is>
      </c>
    </row>
    <row r="108" ht="18" customHeight="1">
      <c r="A108" s="5" t="inlineStr">
        <is>
          <t>12 – Electronics</t>
        </is>
      </c>
      <c r="B108" s="5" t="inlineStr">
        <is>
          <t>Cables</t>
        </is>
      </c>
      <c r="C108" s="6" t="inlineStr">
        <is>
          <t>Ring Crimp Terminal (16-22AWG, #6)</t>
        </is>
      </c>
      <c r="D108" s="7" t="n">
        <v>1</v>
      </c>
      <c r="E108" s="8" t="inlineStr">
        <is>
          <t>⚡ Buy All Now</t>
        </is>
      </c>
      <c r="F108" s="6" t="inlineStr">
        <is>
          <t>Crimp terminals — buy all</t>
        </is>
      </c>
      <c r="G108" s="7" t="inlineStr"/>
      <c r="H108" s="9">
        <f>IF(ISNUMBER(G108),D108*G108,"")</f>
        <v/>
      </c>
      <c r="I108" s="5" t="inlineStr">
        <is>
          <t>Research</t>
        </is>
      </c>
      <c r="J108" s="6" t="inlineStr"/>
      <c r="K108" s="5" t="inlineStr"/>
      <c r="L108" s="5" t="inlineStr"/>
      <c r="M108" s="5" t="inlineStr"/>
      <c r="N108" s="7" t="inlineStr">
        <is>
          <t>☐</t>
        </is>
      </c>
    </row>
    <row r="109" ht="18" customHeight="1">
      <c r="A109" s="5" t="inlineStr">
        <is>
          <t>12 – Electronics</t>
        </is>
      </c>
      <c r="B109" s="5" t="inlineStr">
        <is>
          <t>Cables</t>
        </is>
      </c>
      <c r="C109" s="6" t="inlineStr">
        <is>
          <t>JST XH Connector, 3 Position Male/Female Pair plus Pins</t>
        </is>
      </c>
      <c r="D109" s="7" t="n">
        <v>1</v>
      </c>
      <c r="E109" s="8" t="inlineStr">
        <is>
          <t>⚡ Buy All Now</t>
        </is>
      </c>
      <c r="F109" s="6" t="inlineStr">
        <is>
          <t>Connectors — buy all</t>
        </is>
      </c>
      <c r="G109" s="7" t="inlineStr"/>
      <c r="H109" s="9">
        <f>IF(ISNUMBER(G109),D109*G109,"")</f>
        <v/>
      </c>
      <c r="I109" s="5" t="inlineStr">
        <is>
          <t>Research</t>
        </is>
      </c>
      <c r="J109" s="6" t="inlineStr"/>
      <c r="K109" s="5" t="inlineStr"/>
      <c r="L109" s="5" t="inlineStr"/>
      <c r="M109" s="5" t="inlineStr"/>
      <c r="N109" s="7" t="inlineStr">
        <is>
          <t>☐</t>
        </is>
      </c>
    </row>
    <row r="110" ht="18" customHeight="1">
      <c r="A110" s="10" t="inlineStr">
        <is>
          <t>12 – Electronics</t>
        </is>
      </c>
      <c r="B110" s="10" t="inlineStr">
        <is>
          <t>Cables</t>
        </is>
      </c>
      <c r="C110" s="11" t="inlineStr">
        <is>
          <t>Connector kit matching your controller choice (usually JST-XH)</t>
        </is>
      </c>
      <c r="D110" s="12" t="n">
        <v>1</v>
      </c>
      <c r="E110" s="13" t="inlineStr">
        <is>
          <t>Buy when needed</t>
        </is>
      </c>
      <c r="F110" s="11" t="inlineStr">
        <is>
          <t>MCU-specific connector kit</t>
        </is>
      </c>
      <c r="G110" s="12" t="inlineStr"/>
      <c r="H110" s="14">
        <f>IF(ISNUMBER(G110),D110*G110,"")</f>
        <v/>
      </c>
      <c r="I110" s="5" t="inlineStr">
        <is>
          <t>Research</t>
        </is>
      </c>
      <c r="J110" s="11" t="inlineStr"/>
      <c r="K110" s="10" t="inlineStr"/>
      <c r="L110" s="10" t="inlineStr"/>
      <c r="M110" s="10" t="inlineStr"/>
      <c r="N110" s="12" t="inlineStr">
        <is>
          <t>☐</t>
        </is>
      </c>
    </row>
    <row r="111" ht="18" customHeight="1">
      <c r="A111" s="15" t="inlineStr">
        <is>
          <t>12 – Electronics</t>
        </is>
      </c>
      <c r="B111" s="15" t="inlineStr">
        <is>
          <t>Cables</t>
        </is>
      </c>
      <c r="C111" s="16" t="inlineStr">
        <is>
          <t>Crimp Ferrule Kit (covering sizes 24AWG to 18AWG)</t>
        </is>
      </c>
      <c r="D111" s="17" t="n">
        <v>1</v>
      </c>
      <c r="E111" s="18" t="inlineStr">
        <is>
          <t>Buy when needed</t>
        </is>
      </c>
      <c r="F111" s="16" t="inlineStr">
        <is>
          <t>Ferrule kit</t>
        </is>
      </c>
      <c r="G111" s="17" t="inlineStr"/>
      <c r="H111" s="19">
        <f>IF(ISNUMBER(G111),D111*G111,"")</f>
        <v/>
      </c>
      <c r="I111" s="5" t="inlineStr">
        <is>
          <t>Research</t>
        </is>
      </c>
      <c r="J111" s="16" t="inlineStr"/>
      <c r="K111" s="15" t="inlineStr"/>
      <c r="L111" s="15" t="inlineStr"/>
      <c r="M111" s="15" t="inlineStr"/>
      <c r="N111" s="17" t="inlineStr">
        <is>
          <t>☐</t>
        </is>
      </c>
    </row>
    <row r="112" ht="18" customHeight="1">
      <c r="A112" s="5" t="inlineStr">
        <is>
          <t>12 – Electronics</t>
        </is>
      </c>
      <c r="B112" s="5" t="inlineStr">
        <is>
          <t>Cables</t>
        </is>
      </c>
      <c r="C112" s="6" t="inlineStr">
        <is>
          <t>MicroFit3 Connector Plug 4 Position</t>
        </is>
      </c>
      <c r="D112" s="7" t="n">
        <v>4</v>
      </c>
      <c r="E112" s="8" t="inlineStr">
        <is>
          <t>⚡ Buy All Now</t>
        </is>
      </c>
      <c r="F112" s="6" t="inlineStr">
        <is>
          <t>Toolhead/motor connectors — buy all</t>
        </is>
      </c>
      <c r="G112" s="7" t="inlineStr"/>
      <c r="H112" s="9">
        <f>IF(ISNUMBER(G112),D112*G112,"")</f>
        <v/>
      </c>
      <c r="I112" s="5" t="inlineStr">
        <is>
          <t>Research</t>
        </is>
      </c>
      <c r="J112" s="6" t="inlineStr"/>
      <c r="K112" s="5" t="inlineStr"/>
      <c r="L112" s="5" t="inlineStr"/>
      <c r="M112" s="5" t="inlineStr"/>
      <c r="N112" s="7" t="inlineStr">
        <is>
          <t>☐</t>
        </is>
      </c>
    </row>
    <row r="113" ht="18" customHeight="1">
      <c r="A113" s="5" t="inlineStr">
        <is>
          <t>12 – Electronics</t>
        </is>
      </c>
      <c r="B113" s="5" t="inlineStr">
        <is>
          <t>Cables</t>
        </is>
      </c>
      <c r="C113" s="6" t="inlineStr">
        <is>
          <t>MicroFit3 Connector Plug 3 Position</t>
        </is>
      </c>
      <c r="D113" s="7" t="n">
        <v>1</v>
      </c>
      <c r="E113" s="8" t="inlineStr">
        <is>
          <t>⚡ Buy All Now</t>
        </is>
      </c>
      <c r="F113" s="6" t="inlineStr">
        <is>
          <t>Toolhead/motor connectors — buy all</t>
        </is>
      </c>
      <c r="G113" s="7" t="inlineStr"/>
      <c r="H113" s="9">
        <f>IF(ISNUMBER(G113),D113*G113,"")</f>
        <v/>
      </c>
      <c r="I113" s="5" t="inlineStr">
        <is>
          <t>Research</t>
        </is>
      </c>
      <c r="J113" s="6" t="inlineStr"/>
      <c r="K113" s="5" t="inlineStr"/>
      <c r="L113" s="5" t="inlineStr"/>
      <c r="M113" s="5" t="inlineStr"/>
      <c r="N113" s="7" t="inlineStr">
        <is>
          <t>☐</t>
        </is>
      </c>
    </row>
    <row r="114" ht="18" customHeight="1">
      <c r="A114" s="5" t="inlineStr">
        <is>
          <t>12 – Electronics</t>
        </is>
      </c>
      <c r="B114" s="5" t="inlineStr">
        <is>
          <t>Cables</t>
        </is>
      </c>
      <c r="C114" s="6" t="inlineStr">
        <is>
          <t>MicroFit3 Connector Plug 2 Position</t>
        </is>
      </c>
      <c r="D114" s="7" t="n">
        <v>2</v>
      </c>
      <c r="E114" s="8" t="inlineStr">
        <is>
          <t>⚡ Buy All Now</t>
        </is>
      </c>
      <c r="F114" s="6" t="inlineStr">
        <is>
          <t>Toolhead/motor connectors — buy all</t>
        </is>
      </c>
      <c r="G114" s="7" t="inlineStr"/>
      <c r="H114" s="9">
        <f>IF(ISNUMBER(G114),D114*G114,"")</f>
        <v/>
      </c>
      <c r="I114" s="5" t="inlineStr">
        <is>
          <t>Research</t>
        </is>
      </c>
      <c r="J114" s="6" t="inlineStr"/>
      <c r="K114" s="5" t="inlineStr"/>
      <c r="L114" s="5" t="inlineStr"/>
      <c r="M114" s="5" t="inlineStr"/>
      <c r="N114" s="7" t="inlineStr">
        <is>
          <t>☐</t>
        </is>
      </c>
    </row>
    <row r="115" ht="18" customHeight="1">
      <c r="A115" s="5" t="inlineStr">
        <is>
          <t>12 – Electronics</t>
        </is>
      </c>
      <c r="B115" s="5" t="inlineStr">
        <is>
          <t>Cables</t>
        </is>
      </c>
      <c r="C115" s="6" t="inlineStr">
        <is>
          <t>MicroFit3 Connector Receptacle 4 Position</t>
        </is>
      </c>
      <c r="D115" s="7" t="n">
        <v>4</v>
      </c>
      <c r="E115" s="8" t="inlineStr">
        <is>
          <t>⚡ Buy All Now</t>
        </is>
      </c>
      <c r="F115" s="6" t="inlineStr">
        <is>
          <t>Toolhead/motor connectors — buy all</t>
        </is>
      </c>
      <c r="G115" s="7" t="inlineStr"/>
      <c r="H115" s="9">
        <f>IF(ISNUMBER(G115),D115*G115,"")</f>
        <v/>
      </c>
      <c r="I115" s="5" t="inlineStr">
        <is>
          <t>Research</t>
        </is>
      </c>
      <c r="J115" s="6" t="inlineStr"/>
      <c r="K115" s="5" t="inlineStr"/>
      <c r="L115" s="5" t="inlineStr"/>
      <c r="M115" s="5" t="inlineStr"/>
      <c r="N115" s="7" t="inlineStr">
        <is>
          <t>☐</t>
        </is>
      </c>
    </row>
    <row r="116" ht="18" customHeight="1">
      <c r="A116" s="5" t="inlineStr">
        <is>
          <t>12 – Electronics</t>
        </is>
      </c>
      <c r="B116" s="5" t="inlineStr">
        <is>
          <t>Cables</t>
        </is>
      </c>
      <c r="C116" s="6" t="inlineStr">
        <is>
          <t>MicroFit3 Connector Receptacle 3 Position</t>
        </is>
      </c>
      <c r="D116" s="7" t="n">
        <v>1</v>
      </c>
      <c r="E116" s="8" t="inlineStr">
        <is>
          <t>⚡ Buy All Now</t>
        </is>
      </c>
      <c r="F116" s="6" t="inlineStr">
        <is>
          <t>Toolhead/motor connectors — buy all</t>
        </is>
      </c>
      <c r="G116" s="7" t="inlineStr"/>
      <c r="H116" s="9">
        <f>IF(ISNUMBER(G116),D116*G116,"")</f>
        <v/>
      </c>
      <c r="I116" s="5" t="inlineStr">
        <is>
          <t>Research</t>
        </is>
      </c>
      <c r="J116" s="6" t="inlineStr"/>
      <c r="K116" s="5" t="inlineStr"/>
      <c r="L116" s="5" t="inlineStr"/>
      <c r="M116" s="5" t="inlineStr"/>
      <c r="N116" s="7" t="inlineStr">
        <is>
          <t>☐</t>
        </is>
      </c>
    </row>
    <row r="117" ht="18" customHeight="1">
      <c r="A117" s="5" t="inlineStr">
        <is>
          <t>12 – Electronics</t>
        </is>
      </c>
      <c r="B117" s="5" t="inlineStr">
        <is>
          <t>Cables</t>
        </is>
      </c>
      <c r="C117" s="6" t="inlineStr">
        <is>
          <t>MicroFit3 Connector Receptacle 2 Position</t>
        </is>
      </c>
      <c r="D117" s="7" t="n">
        <v>2</v>
      </c>
      <c r="E117" s="8" t="inlineStr">
        <is>
          <t>⚡ Buy All Now</t>
        </is>
      </c>
      <c r="F117" s="6" t="inlineStr">
        <is>
          <t>Toolhead/motor connectors — buy all</t>
        </is>
      </c>
      <c r="G117" s="7" t="inlineStr"/>
      <c r="H117" s="9">
        <f>IF(ISNUMBER(G117),D117*G117,"")</f>
        <v/>
      </c>
      <c r="I117" s="5" t="inlineStr">
        <is>
          <t>Research</t>
        </is>
      </c>
      <c r="J117" s="6" t="inlineStr"/>
      <c r="K117" s="5" t="inlineStr"/>
      <c r="L117" s="5" t="inlineStr"/>
      <c r="M117" s="5" t="inlineStr"/>
      <c r="N117" s="7" t="inlineStr">
        <is>
          <t>☐</t>
        </is>
      </c>
    </row>
    <row r="118" ht="18" customHeight="1">
      <c r="A118" s="5" t="inlineStr">
        <is>
          <t>12 – Electronics</t>
        </is>
      </c>
      <c r="B118" s="5" t="inlineStr">
        <is>
          <t>Cables</t>
        </is>
      </c>
      <c r="C118" s="6" t="inlineStr">
        <is>
          <t>MicroFit3 Female Pin</t>
        </is>
      </c>
      <c r="D118" s="7" t="n">
        <v>40</v>
      </c>
      <c r="E118" s="8" t="inlineStr">
        <is>
          <t>⚡ Buy All Now</t>
        </is>
      </c>
      <c r="F118" s="6" t="inlineStr">
        <is>
          <t>Connector pins — buy all</t>
        </is>
      </c>
      <c r="G118" s="7" t="inlineStr"/>
      <c r="H118" s="9">
        <f>IF(ISNUMBER(G118),D118*G118,"")</f>
        <v/>
      </c>
      <c r="I118" s="5" t="inlineStr">
        <is>
          <t>Research</t>
        </is>
      </c>
      <c r="J118" s="6" t="inlineStr"/>
      <c r="K118" s="5" t="inlineStr"/>
      <c r="L118" s="5" t="inlineStr"/>
      <c r="M118" s="5" t="inlineStr"/>
      <c r="N118" s="7" t="inlineStr">
        <is>
          <t>☐</t>
        </is>
      </c>
    </row>
    <row r="119" ht="18" customHeight="1">
      <c r="A119" s="5" t="inlineStr">
        <is>
          <t>12 – Electronics</t>
        </is>
      </c>
      <c r="B119" s="5" t="inlineStr">
        <is>
          <t>Cables</t>
        </is>
      </c>
      <c r="C119" s="6" t="inlineStr">
        <is>
          <t>MicroFit3 Male Pin</t>
        </is>
      </c>
      <c r="D119" s="7" t="n">
        <v>40</v>
      </c>
      <c r="E119" s="8" t="inlineStr">
        <is>
          <t>⚡ Buy All Now</t>
        </is>
      </c>
      <c r="F119" s="6" t="inlineStr">
        <is>
          <t>Connector pins — buy all</t>
        </is>
      </c>
      <c r="G119" s="7" t="inlineStr"/>
      <c r="H119" s="9">
        <f>IF(ISNUMBER(G119),D119*G119,"")</f>
        <v/>
      </c>
      <c r="I119" s="5" t="inlineStr">
        <is>
          <t>Research</t>
        </is>
      </c>
      <c r="J119" s="6" t="inlineStr"/>
      <c r="K119" s="5" t="inlineStr"/>
      <c r="L119" s="5" t="inlineStr"/>
      <c r="M119" s="5" t="inlineStr"/>
      <c r="N119" s="7" t="inlineStr">
        <is>
          <t>☐</t>
        </is>
      </c>
    </row>
    <row r="120" ht="18" customHeight="1">
      <c r="A120" s="5" t="inlineStr">
        <is>
          <t>12 – Electronics</t>
        </is>
      </c>
      <c r="B120" s="5" t="inlineStr">
        <is>
          <t>Cables</t>
        </is>
      </c>
      <c r="C120" s="6" t="inlineStr">
        <is>
          <t>WAGO 221-415 Lever-Nuts</t>
        </is>
      </c>
      <c r="D120" s="7" t="n">
        <v>3</v>
      </c>
      <c r="E120" s="8" t="inlineStr">
        <is>
          <t>⚡ Buy All Now</t>
        </is>
      </c>
      <c r="F120" s="6" t="inlineStr">
        <is>
          <t>Power distribution — buy all</t>
        </is>
      </c>
      <c r="G120" s="7" t="inlineStr"/>
      <c r="H120" s="9">
        <f>IF(ISNUMBER(G120),D120*G120,"")</f>
        <v/>
      </c>
      <c r="I120" s="5" t="inlineStr">
        <is>
          <t>Research</t>
        </is>
      </c>
      <c r="J120" s="6" t="inlineStr"/>
      <c r="K120" s="5" t="inlineStr"/>
      <c r="L120" s="5" t="inlineStr"/>
      <c r="M120" s="5" t="inlineStr"/>
      <c r="N120" s="7" t="inlineStr">
        <is>
          <t>☐</t>
        </is>
      </c>
    </row>
    <row r="121" ht="20" customHeight="1">
      <c r="A121" s="4" t="inlineStr">
        <is>
          <t xml:space="preserve">  ▶  13 – BED ASSEMBLY  —  Buy these parts before this assembly step</t>
        </is>
      </c>
    </row>
    <row r="122" ht="18" customHeight="1">
      <c r="A122" s="5" t="inlineStr">
        <is>
          <t>13 – Bed Assembly</t>
        </is>
      </c>
      <c r="B122" s="5" t="inlineStr">
        <is>
          <t>Fasteners</t>
        </is>
      </c>
      <c r="C122" s="6" t="inlineStr">
        <is>
          <t>M4x6 BHCS</t>
        </is>
      </c>
      <c r="D122" s="7" t="n">
        <v>7</v>
      </c>
      <c r="E122" s="8" t="inlineStr">
        <is>
          <t>⚡ Buy All Now</t>
        </is>
      </c>
      <c r="F122" s="6" t="inlineStr">
        <is>
          <t>Bed mounting</t>
        </is>
      </c>
      <c r="G122" s="7" t="inlineStr"/>
      <c r="H122" s="9">
        <f>IF(ISNUMBER(G122),D122*G122,"")</f>
        <v/>
      </c>
      <c r="I122" s="5" t="inlineStr">
        <is>
          <t>Research</t>
        </is>
      </c>
      <c r="J122" s="6" t="inlineStr"/>
      <c r="K122" s="5" t="inlineStr"/>
      <c r="L122" s="5" t="inlineStr"/>
      <c r="M122" s="5" t="inlineStr"/>
      <c r="N122" s="7" t="inlineStr">
        <is>
          <t>☐</t>
        </is>
      </c>
    </row>
    <row r="123" ht="18" customHeight="1">
      <c r="A123" s="5" t="inlineStr">
        <is>
          <t>13 – Bed Assembly</t>
        </is>
      </c>
      <c r="B123" s="5" t="inlineStr">
        <is>
          <t>Fasteners</t>
        </is>
      </c>
      <c r="C123" s="6" t="inlineStr">
        <is>
          <t>M4 Knurled Nut (DIN 466-B)</t>
        </is>
      </c>
      <c r="D123" s="7" t="n">
        <v>4</v>
      </c>
      <c r="E123" s="8" t="inlineStr">
        <is>
          <t>⚡ Buy All Now</t>
        </is>
      </c>
      <c r="F123" s="6" t="inlineStr">
        <is>
          <t>Bed leveling thumbscrews</t>
        </is>
      </c>
      <c r="G123" s="7" t="inlineStr"/>
      <c r="H123" s="9">
        <f>IF(ISNUMBER(G123),D123*G123,"")</f>
        <v/>
      </c>
      <c r="I123" s="5" t="inlineStr">
        <is>
          <t>Research</t>
        </is>
      </c>
      <c r="J123" s="6" t="inlineStr"/>
      <c r="K123" s="5" t="inlineStr"/>
      <c r="L123" s="5" t="inlineStr"/>
      <c r="M123" s="5" t="inlineStr"/>
      <c r="N123" s="7" t="inlineStr">
        <is>
          <t>☐</t>
        </is>
      </c>
    </row>
    <row r="124" ht="18" customHeight="1">
      <c r="A124" s="10" t="inlineStr">
        <is>
          <t>13 – Bed Assembly</t>
        </is>
      </c>
      <c r="B124" s="10" t="inlineStr">
        <is>
          <t>Electronics</t>
        </is>
      </c>
      <c r="C124" s="11" t="inlineStr">
        <is>
          <t>Thermal Fuse (150C)</t>
        </is>
      </c>
      <c r="D124" s="12" t="n">
        <v>1</v>
      </c>
      <c r="E124" s="13" t="inlineStr">
        <is>
          <t>Buy when needed</t>
        </is>
      </c>
      <c r="F124" s="11" t="inlineStr">
        <is>
          <t>Bed heater safety fuse</t>
        </is>
      </c>
      <c r="G124" s="12" t="inlineStr"/>
      <c r="H124" s="14">
        <f>IF(ISNUMBER(G124),D124*G124,"")</f>
        <v/>
      </c>
      <c r="I124" s="5" t="inlineStr">
        <is>
          <t>Research</t>
        </is>
      </c>
      <c r="J124" s="11" t="inlineStr"/>
      <c r="K124" s="10" t="inlineStr"/>
      <c r="L124" s="10" t="inlineStr"/>
      <c r="M124" s="10" t="inlineStr"/>
      <c r="N124" s="12" t="inlineStr">
        <is>
          <t>☐</t>
        </is>
      </c>
    </row>
    <row r="125" ht="18" customHeight="1">
      <c r="A125" s="15" t="inlineStr">
        <is>
          <t>13 – Bed Assembly</t>
        </is>
      </c>
      <c r="B125" s="15" t="inlineStr">
        <is>
          <t>Misc</t>
        </is>
      </c>
      <c r="C125" s="16" t="inlineStr">
        <is>
          <t>3M VHB Tape 5952</t>
        </is>
      </c>
      <c r="D125" s="17" t="n">
        <v>1</v>
      </c>
      <c r="E125" s="18" t="inlineStr">
        <is>
          <t>Buy when needed</t>
        </is>
      </c>
      <c r="F125" s="16" t="inlineStr">
        <is>
          <t>Bed surface adhesive</t>
        </is>
      </c>
      <c r="G125" s="17" t="inlineStr"/>
      <c r="H125" s="19">
        <f>IF(ISNUMBER(G125),D125*G125,"")</f>
        <v/>
      </c>
      <c r="I125" s="5" t="inlineStr">
        <is>
          <t>Research</t>
        </is>
      </c>
      <c r="J125" s="16" t="inlineStr"/>
      <c r="K125" s="15" t="inlineStr"/>
      <c r="L125" s="15" t="inlineStr"/>
      <c r="M125" s="15" t="inlineStr"/>
      <c r="N125" s="17" t="inlineStr">
        <is>
          <t>☐</t>
        </is>
      </c>
    </row>
    <row r="126" ht="18" customHeight="1">
      <c r="A126" s="10" t="inlineStr">
        <is>
          <t>13 – Bed Assembly</t>
        </is>
      </c>
      <c r="B126" s="10" t="inlineStr">
        <is>
          <t>Cables</t>
        </is>
      </c>
      <c r="C126" s="11" t="inlineStr">
        <is>
          <t>MLX Power Receptacle 3 Position (bed wiring)</t>
        </is>
      </c>
      <c r="D126" s="12" t="n">
        <v>1</v>
      </c>
      <c r="E126" s="13" t="inlineStr">
        <is>
          <t>Buy when needed</t>
        </is>
      </c>
      <c r="F126" s="11" t="inlineStr">
        <is>
          <t>Bed connector</t>
        </is>
      </c>
      <c r="G126" s="12" t="inlineStr"/>
      <c r="H126" s="14">
        <f>IF(ISNUMBER(G126),D126*G126,"")</f>
        <v/>
      </c>
      <c r="I126" s="5" t="inlineStr">
        <is>
          <t>Research</t>
        </is>
      </c>
      <c r="J126" s="11" t="inlineStr"/>
      <c r="K126" s="10" t="inlineStr"/>
      <c r="L126" s="10" t="inlineStr"/>
      <c r="M126" s="10" t="inlineStr"/>
      <c r="N126" s="12" t="inlineStr">
        <is>
          <t>☐</t>
        </is>
      </c>
    </row>
    <row r="127" ht="18" customHeight="1">
      <c r="A127" s="15" t="inlineStr">
        <is>
          <t>13 – Bed Assembly</t>
        </is>
      </c>
      <c r="B127" s="15" t="inlineStr">
        <is>
          <t>Cables</t>
        </is>
      </c>
      <c r="C127" s="16" t="inlineStr">
        <is>
          <t>MLX Power Plug 3 Position</t>
        </is>
      </c>
      <c r="D127" s="17" t="n">
        <v>1</v>
      </c>
      <c r="E127" s="18" t="inlineStr">
        <is>
          <t>Buy when needed</t>
        </is>
      </c>
      <c r="F127" s="16" t="inlineStr">
        <is>
          <t>Bed connector</t>
        </is>
      </c>
      <c r="G127" s="17" t="inlineStr"/>
      <c r="H127" s="19">
        <f>IF(ISNUMBER(G127),D127*G127,"")</f>
        <v/>
      </c>
      <c r="I127" s="5" t="inlineStr">
        <is>
          <t>Research</t>
        </is>
      </c>
      <c r="J127" s="16" t="inlineStr"/>
      <c r="K127" s="15" t="inlineStr"/>
      <c r="L127" s="15" t="inlineStr"/>
      <c r="M127" s="15" t="inlineStr"/>
      <c r="N127" s="17" t="inlineStr">
        <is>
          <t>☐</t>
        </is>
      </c>
    </row>
    <row r="128" ht="18" customHeight="1">
      <c r="A128" s="5" t="inlineStr">
        <is>
          <t>13 – Bed Assembly</t>
        </is>
      </c>
      <c r="B128" s="5" t="inlineStr">
        <is>
          <t>Cables</t>
        </is>
      </c>
      <c r="C128" s="6" t="inlineStr">
        <is>
          <t>MLX Male Pin</t>
        </is>
      </c>
      <c r="D128" s="7" t="n">
        <v>6</v>
      </c>
      <c r="E128" s="8" t="inlineStr">
        <is>
          <t>⚡ Buy All Now</t>
        </is>
      </c>
      <c r="F128" s="6" t="inlineStr">
        <is>
          <t>Bed connector pins — buy all</t>
        </is>
      </c>
      <c r="G128" s="7" t="inlineStr"/>
      <c r="H128" s="9">
        <f>IF(ISNUMBER(G128),D128*G128,"")</f>
        <v/>
      </c>
      <c r="I128" s="5" t="inlineStr">
        <is>
          <t>Research</t>
        </is>
      </c>
      <c r="J128" s="6" t="inlineStr"/>
      <c r="K128" s="5" t="inlineStr"/>
      <c r="L128" s="5" t="inlineStr"/>
      <c r="M128" s="5" t="inlineStr"/>
      <c r="N128" s="7" t="inlineStr">
        <is>
          <t>☐</t>
        </is>
      </c>
    </row>
    <row r="129" ht="18" customHeight="1">
      <c r="A129" s="5" t="inlineStr">
        <is>
          <t>13 – Bed Assembly</t>
        </is>
      </c>
      <c r="B129" s="5" t="inlineStr">
        <is>
          <t>Cables</t>
        </is>
      </c>
      <c r="C129" s="6" t="inlineStr">
        <is>
          <t>MLX Female Pin</t>
        </is>
      </c>
      <c r="D129" s="7" t="n">
        <v>6</v>
      </c>
      <c r="E129" s="8" t="inlineStr">
        <is>
          <t>⚡ Buy All Now</t>
        </is>
      </c>
      <c r="F129" s="6" t="inlineStr">
        <is>
          <t>Bed connector pins — buy all</t>
        </is>
      </c>
      <c r="G129" s="7" t="inlineStr"/>
      <c r="H129" s="9">
        <f>IF(ISNUMBER(G129),D129*G129,"")</f>
        <v/>
      </c>
      <c r="I129" s="5" t="inlineStr">
        <is>
          <t>Research</t>
        </is>
      </c>
      <c r="J129" s="6" t="inlineStr"/>
      <c r="K129" s="5" t="inlineStr"/>
      <c r="L129" s="5" t="inlineStr"/>
      <c r="M129" s="5" t="inlineStr"/>
      <c r="N129" s="7" t="inlineStr">
        <is>
          <t>☐</t>
        </is>
      </c>
    </row>
    <row r="130" ht="18" customHeight="1">
      <c r="A130" s="10" t="inlineStr">
        <is>
          <t>13 – Bed Assembly</t>
        </is>
      </c>
      <c r="B130" s="10" t="inlineStr">
        <is>
          <t>Buildplate</t>
        </is>
      </c>
      <c r="C130" s="11" t="inlineStr">
        <is>
          <t>MIC6 5/16" Plate - 12"x12"</t>
        </is>
      </c>
      <c r="D130" s="12" t="n">
        <v>1</v>
      </c>
      <c r="E130" s="13" t="inlineStr">
        <is>
          <t>Buy when needed</t>
        </is>
      </c>
      <c r="F130" s="11" t="inlineStr">
        <is>
          <t>Cast aluminum tooling plate bed</t>
        </is>
      </c>
      <c r="G130" s="12" t="inlineStr"/>
      <c r="H130" s="14">
        <f>IF(ISNUMBER(G130),D130*G130,"")</f>
        <v/>
      </c>
      <c r="I130" s="5" t="inlineStr">
        <is>
          <t>Research</t>
        </is>
      </c>
      <c r="J130" s="11" t="inlineStr"/>
      <c r="K130" s="10" t="inlineStr"/>
      <c r="L130" s="10" t="inlineStr"/>
      <c r="M130" s="10" t="inlineStr"/>
      <c r="N130" s="12" t="inlineStr">
        <is>
          <t>☐</t>
        </is>
      </c>
    </row>
    <row r="131" ht="18" customHeight="1">
      <c r="A131" s="15" t="inlineStr">
        <is>
          <t>13 – Bed Assembly</t>
        </is>
      </c>
      <c r="B131" s="15" t="inlineStr">
        <is>
          <t>Buildplate</t>
        </is>
      </c>
      <c r="C131" s="16" t="inlineStr">
        <is>
          <t>Adhesive Magnetic Sheet - 12"x12"</t>
        </is>
      </c>
      <c r="D131" s="17" t="n">
        <v>1</v>
      </c>
      <c r="E131" s="18" t="inlineStr">
        <is>
          <t>Buy when needed</t>
        </is>
      </c>
      <c r="F131" s="16" t="inlineStr">
        <is>
          <t>Magnetic bed surface base</t>
        </is>
      </c>
      <c r="G131" s="17" t="inlineStr"/>
      <c r="H131" s="19">
        <f>IF(ISNUMBER(G131),D131*G131,"")</f>
        <v/>
      </c>
      <c r="I131" s="5" t="inlineStr">
        <is>
          <t>Research</t>
        </is>
      </c>
      <c r="J131" s="16" t="inlineStr"/>
      <c r="K131" s="15" t="inlineStr"/>
      <c r="L131" s="15" t="inlineStr"/>
      <c r="M131" s="15" t="inlineStr"/>
      <c r="N131" s="17" t="inlineStr">
        <is>
          <t>☐</t>
        </is>
      </c>
    </row>
    <row r="132" ht="18" customHeight="1">
      <c r="A132" s="10" t="inlineStr">
        <is>
          <t>13 – Bed Assembly</t>
        </is>
      </c>
      <c r="B132" s="10" t="inlineStr">
        <is>
          <t>Buildplate</t>
        </is>
      </c>
      <c r="C132" s="11" t="inlineStr">
        <is>
          <t>Spring Steel Flexible Print Surface - 12"x12"</t>
        </is>
      </c>
      <c r="D132" s="12" t="n">
        <v>1</v>
      </c>
      <c r="E132" s="13" t="inlineStr">
        <is>
          <t>Buy when needed</t>
        </is>
      </c>
      <c r="F132" s="11" t="inlineStr">
        <is>
          <t>PEI flex plate</t>
        </is>
      </c>
      <c r="G132" s="12" t="inlineStr"/>
      <c r="H132" s="14">
        <f>IF(ISNUMBER(G132),D132*G132,"")</f>
        <v/>
      </c>
      <c r="I132" s="5" t="inlineStr">
        <is>
          <t>Research</t>
        </is>
      </c>
      <c r="J132" s="11" t="inlineStr"/>
      <c r="K132" s="10" t="inlineStr"/>
      <c r="L132" s="10" t="inlineStr"/>
      <c r="M132" s="10" t="inlineStr"/>
      <c r="N132" s="12" t="inlineStr">
        <is>
          <t>☐</t>
        </is>
      </c>
    </row>
    <row r="133" ht="18" customHeight="1">
      <c r="A133" s="15" t="inlineStr">
        <is>
          <t>13 – Bed Assembly</t>
        </is>
      </c>
      <c r="B133" s="15" t="inlineStr">
        <is>
          <t>Buildplate</t>
        </is>
      </c>
      <c r="C133" s="16" t="inlineStr">
        <is>
          <t>Keenovo Silicone AC Heater w/ thermistor - 250x250mm (450W)</t>
        </is>
      </c>
      <c r="D133" s="17" t="n">
        <v>1</v>
      </c>
      <c r="E133" s="18" t="inlineStr">
        <is>
          <t>Buy when needed</t>
        </is>
      </c>
      <c r="F133" s="16" t="inlineStr">
        <is>
          <t>Bed heater</t>
        </is>
      </c>
      <c r="G133" s="17" t="inlineStr"/>
      <c r="H133" s="19">
        <f>IF(ISNUMBER(G133),D133*G133,"")</f>
        <v/>
      </c>
      <c r="I133" s="5" t="inlineStr">
        <is>
          <t>Research</t>
        </is>
      </c>
      <c r="J133" s="16" t="inlineStr"/>
      <c r="K133" s="15" t="inlineStr"/>
      <c r="L133" s="15" t="inlineStr"/>
      <c r="M133" s="15" t="inlineStr"/>
      <c r="N133" s="17" t="inlineStr">
        <is>
          <t>☐</t>
        </is>
      </c>
    </row>
    <row r="134" ht="20" customHeight="1">
      <c r="A134" s="4" t="inlineStr">
        <is>
          <t xml:space="preserve">  ▶  14 – WIRING / FINAL  —  Buy these parts before this assembly step</t>
        </is>
      </c>
    </row>
    <row r="135" ht="18" customHeight="1">
      <c r="A135" s="15" t="inlineStr">
        <is>
          <t>14 – Wiring / Final</t>
        </is>
      </c>
      <c r="B135" s="15" t="inlineStr">
        <is>
          <t>Cables</t>
        </is>
      </c>
      <c r="C135" s="16" t="inlineStr">
        <is>
          <t>IGUS E2i-10-10-018-0 Chain (355mm [1.16ft])</t>
        </is>
      </c>
      <c r="D135" s="17" t="n">
        <v>2</v>
      </c>
      <c r="E135" s="18" t="inlineStr">
        <is>
          <t>Buy when needed</t>
        </is>
      </c>
      <c r="F135" s="16" t="inlineStr">
        <is>
          <t>Z drag chain</t>
        </is>
      </c>
      <c r="G135" s="17" t="inlineStr"/>
      <c r="H135" s="19">
        <f>IF(ISNUMBER(G135),D135*G135,"")</f>
        <v/>
      </c>
      <c r="I135" s="5" t="inlineStr">
        <is>
          <t>Research</t>
        </is>
      </c>
      <c r="J135" s="16" t="inlineStr"/>
      <c r="K135" s="15" t="inlineStr"/>
      <c r="L135" s="15" t="inlineStr"/>
      <c r="M135" s="15" t="inlineStr"/>
      <c r="N135" s="17" t="inlineStr">
        <is>
          <t>☐</t>
        </is>
      </c>
    </row>
    <row r="136" ht="18" customHeight="1">
      <c r="A136" s="5" t="inlineStr">
        <is>
          <t>14 – Wiring / Final</t>
        </is>
      </c>
      <c r="B136" s="5" t="inlineStr">
        <is>
          <t>Cables</t>
        </is>
      </c>
      <c r="C136" s="6" t="inlineStr">
        <is>
          <t>IGUS E2-100-10-12PZ Chain Ends (set)</t>
        </is>
      </c>
      <c r="D136" s="7" t="n">
        <v>2</v>
      </c>
      <c r="E136" s="8" t="inlineStr">
        <is>
          <t>⚡ Buy All Now</t>
        </is>
      </c>
      <c r="F136" s="6" t="inlineStr">
        <is>
          <t>Chain end sets — buy both</t>
        </is>
      </c>
      <c r="G136" s="7" t="inlineStr"/>
      <c r="H136" s="9">
        <f>IF(ISNUMBER(G136),D136*G136,"")</f>
        <v/>
      </c>
      <c r="I136" s="5" t="inlineStr">
        <is>
          <t>Research</t>
        </is>
      </c>
      <c r="J136" s="6" t="inlineStr"/>
      <c r="K136" s="5" t="inlineStr"/>
      <c r="L136" s="5" t="inlineStr"/>
      <c r="M136" s="5" t="inlineStr"/>
      <c r="N136" s="7" t="inlineStr">
        <is>
          <t>☐</t>
        </is>
      </c>
    </row>
    <row r="137" ht="18" customHeight="1">
      <c r="A137" s="15" t="inlineStr">
        <is>
          <t>14 – Wiring / Final</t>
        </is>
      </c>
      <c r="B137" s="15" t="inlineStr">
        <is>
          <t>Cables</t>
        </is>
      </c>
      <c r="C137" s="16" t="inlineStr">
        <is>
          <t>IGUS E2-15-10-028-0 Chain (495mm [1.62ft])</t>
        </is>
      </c>
      <c r="D137" s="17" t="n">
        <v>1</v>
      </c>
      <c r="E137" s="18" t="inlineStr">
        <is>
          <t>Buy when needed</t>
        </is>
      </c>
      <c r="F137" s="16" t="inlineStr">
        <is>
          <t>Toolhead drag chain</t>
        </is>
      </c>
      <c r="G137" s="17" t="inlineStr"/>
      <c r="H137" s="19">
        <f>IF(ISNUMBER(G137),D137*G137,"")</f>
        <v/>
      </c>
      <c r="I137" s="5" t="inlineStr">
        <is>
          <t>Research</t>
        </is>
      </c>
      <c r="J137" s="16" t="inlineStr"/>
      <c r="K137" s="15" t="inlineStr"/>
      <c r="L137" s="15" t="inlineStr"/>
      <c r="M137" s="15" t="inlineStr"/>
      <c r="N137" s="17" t="inlineStr">
        <is>
          <t>☐</t>
        </is>
      </c>
    </row>
    <row r="138" ht="18" customHeight="1">
      <c r="A138" s="5" t="inlineStr">
        <is>
          <t>14 – Wiring / Final</t>
        </is>
      </c>
      <c r="B138" s="5" t="inlineStr">
        <is>
          <t>Cables</t>
        </is>
      </c>
      <c r="C138" s="6" t="inlineStr">
        <is>
          <t>IGUS E2-150-10-12PZ Chain Ends (set)</t>
        </is>
      </c>
      <c r="D138" s="7" t="n">
        <v>1</v>
      </c>
      <c r="E138" s="8" t="inlineStr">
        <is>
          <t>⚡ Buy All Now</t>
        </is>
      </c>
      <c r="F138" s="6" t="inlineStr">
        <is>
          <t>Chain end sets — buy both</t>
        </is>
      </c>
      <c r="G138" s="7" t="inlineStr"/>
      <c r="H138" s="9">
        <f>IF(ISNUMBER(G138),D138*G138,"")</f>
        <v/>
      </c>
      <c r="I138" s="5" t="inlineStr">
        <is>
          <t>Research</t>
        </is>
      </c>
      <c r="J138" s="6" t="inlineStr"/>
      <c r="K138" s="5" t="inlineStr"/>
      <c r="L138" s="5" t="inlineStr"/>
      <c r="M138" s="5" t="inlineStr"/>
      <c r="N138" s="7" t="inlineStr">
        <is>
          <t>☐</t>
        </is>
      </c>
    </row>
    <row r="139" ht="22" customHeight="1">
      <c r="A139" s="20" t="inlineStr">
        <is>
          <t>ESTIMATED TOTAL (enter unit prices in col G)  →</t>
        </is>
      </c>
      <c r="H139" s="21">
        <f>SUMIF(H4:H138,"&lt;&gt;""")</f>
        <v/>
      </c>
      <c r="I139" s="22" t="n"/>
      <c r="J139" s="22" t="n"/>
      <c r="K139" s="22" t="n"/>
      <c r="L139" s="22" t="n"/>
      <c r="M139" s="22" t="n"/>
      <c r="N139" s="22" t="n"/>
    </row>
  </sheetData>
  <autoFilter ref="A3:N3"/>
  <mergeCells count="16">
    <mergeCell ref="A80:N80"/>
    <mergeCell ref="A67:N67"/>
    <mergeCell ref="A22:N22"/>
    <mergeCell ref="A69:N69"/>
    <mergeCell ref="A4:N4"/>
    <mergeCell ref="A2:N2"/>
    <mergeCell ref="A54:N54"/>
    <mergeCell ref="A72:N72"/>
    <mergeCell ref="A82:N82"/>
    <mergeCell ref="A65:N65"/>
    <mergeCell ref="A134:N134"/>
    <mergeCell ref="A139:G139"/>
    <mergeCell ref="A49:N49"/>
    <mergeCell ref="A121:N121"/>
    <mergeCell ref="A37:N37"/>
    <mergeCell ref="A1:N1"/>
  </mergeCells>
  <dataValidations count="1">
    <dataValidation sqref="I5 I6 I7 I8 I9 I10 I11 I12 I13 I14 I15 I16 I17 I18 I19 I20 I21 I23 I24 I25 I26 I27 I28 I29 I30 I31 I32 I33 I34 I35 I36 I38 I39 I40 I41 I42 I43 I44 I45 I46 I47 I48 I50 I51 I52 I53 I55 I56 I57 I58 I59 I60 I61 I62 I63 I64 I66 I68 I70 I71 I73 I74 I75 I76 I77 I78 I79 I81 I83 I84 I85 I86 I87 I88 I89 I90 I91 I92 I93 I94 I95 I96 I97 I98 I99 I100 I101 I102 I103 I104 I105 I106 I107 I108 I109 I110 I111 I112 I113 I114 I115 I116 I117 I118 I119 I120 I122 I123 I124 I125 I126 I127 I128 I129 I130 I131 I132 I133 I135 I136 I137 I138" showDropDown="0" showInputMessage="0" showErrorMessage="0" allowBlank="1" type="list">
      <formula1>"Not Needed,Research,Ordered,Received"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selection activeCell="A1" sqref="A1"/>
    </sheetView>
  </sheetViews>
  <sheetFormatPr baseColWidth="8" defaultRowHeight="15"/>
  <cols>
    <col width="46" customWidth="1" min="1" max="1"/>
    <col width="8" customWidth="1" min="2" max="2"/>
    <col width="12" customWidth="1" min="3" max="3"/>
    <col width="12" customWidth="1" min="4" max="4"/>
    <col width="12" customWidth="1" min="5" max="5"/>
  </cols>
  <sheetData>
    <row r="1" ht="28" customHeight="1">
      <c r="A1" s="23" t="inlineStr">
        <is>
          <t>Buy List by Step — What to Order Before Each Assembly Stage</t>
        </is>
      </c>
    </row>
    <row r="2" ht="20" customHeight="1">
      <c r="A2" s="4" t="inlineStr">
        <is>
          <t xml:space="preserve">  ▶  1 – FRAME</t>
        </is>
      </c>
    </row>
    <row r="3" ht="16" customHeight="1">
      <c r="A3" s="24" t="inlineStr">
        <is>
          <t>Part</t>
        </is>
      </c>
      <c r="B3" s="24" t="inlineStr">
        <is>
          <t>Qty</t>
        </is>
      </c>
      <c r="C3" s="24" t="inlineStr">
        <is>
          <t>Buy All?</t>
        </is>
      </c>
      <c r="D3" s="24" t="inlineStr">
        <is>
          <t>☐ Ordered</t>
        </is>
      </c>
      <c r="E3" s="24" t="inlineStr">
        <is>
          <t>☐ Received</t>
        </is>
      </c>
    </row>
    <row r="4" ht="16" customHeight="1">
      <c r="A4" s="25" t="inlineStr">
        <is>
          <t>M5x40 SHCS</t>
        </is>
      </c>
      <c r="B4" s="26" t="n">
        <v>22</v>
      </c>
      <c r="C4" s="27" t="inlineStr">
        <is>
          <t>⚡ Buy All</t>
        </is>
      </c>
      <c r="D4" s="26" t="inlineStr"/>
      <c r="E4" s="26" t="inlineStr"/>
    </row>
    <row r="5" ht="16" customHeight="1">
      <c r="A5" s="25" t="inlineStr">
        <is>
          <t>M5x30 BHCS</t>
        </is>
      </c>
      <c r="B5" s="26" t="n">
        <v>22</v>
      </c>
      <c r="C5" s="27" t="inlineStr">
        <is>
          <t>⚡ Buy All</t>
        </is>
      </c>
      <c r="D5" s="26" t="inlineStr"/>
      <c r="E5" s="26" t="inlineStr"/>
    </row>
    <row r="6" ht="16" customHeight="1">
      <c r="A6" s="25" t="inlineStr">
        <is>
          <t>M5x16 BHCS</t>
        </is>
      </c>
      <c r="B6" s="26" t="n">
        <v>35</v>
      </c>
      <c r="C6" s="27" t="inlineStr">
        <is>
          <t>⚡ Buy All</t>
        </is>
      </c>
      <c r="D6" s="26" t="inlineStr"/>
      <c r="E6" s="26" t="inlineStr"/>
    </row>
    <row r="7" ht="16" customHeight="1">
      <c r="A7" s="25" t="inlineStr">
        <is>
          <t>M5x10 BHCS</t>
        </is>
      </c>
      <c r="B7" s="26" t="n">
        <v>35</v>
      </c>
      <c r="C7" s="27" t="inlineStr">
        <is>
          <t>⚡ Buy All</t>
        </is>
      </c>
      <c r="D7" s="26" t="inlineStr"/>
      <c r="E7" s="26" t="inlineStr"/>
    </row>
    <row r="8" ht="16" customHeight="1">
      <c r="A8" s="25" t="inlineStr">
        <is>
          <t>M5 Hexnut</t>
        </is>
      </c>
      <c r="B8" s="26" t="n">
        <v>16</v>
      </c>
      <c r="C8" s="27" t="inlineStr">
        <is>
          <t>⚡ Buy All</t>
        </is>
      </c>
      <c r="D8" s="26" t="inlineStr"/>
      <c r="E8" s="26" t="inlineStr"/>
    </row>
    <row r="9" ht="16" customHeight="1">
      <c r="A9" s="25" t="inlineStr">
        <is>
          <t>M5 Post-install T-nut</t>
        </is>
      </c>
      <c r="B9" s="26" t="n">
        <v>68</v>
      </c>
      <c r="C9" s="27" t="inlineStr">
        <is>
          <t>⚡ Buy All</t>
        </is>
      </c>
      <c r="D9" s="26" t="inlineStr"/>
      <c r="E9" s="26" t="inlineStr"/>
    </row>
    <row r="10" ht="16" customHeight="1">
      <c r="A10" s="25" t="inlineStr">
        <is>
          <t>M3 Post-install T-nut</t>
        </is>
      </c>
      <c r="B10" s="26" t="n">
        <v>96</v>
      </c>
      <c r="C10" s="27" t="inlineStr">
        <is>
          <t>⚡ Buy All</t>
        </is>
      </c>
      <c r="D10" s="26" t="inlineStr"/>
      <c r="E10" s="26" t="inlineStr"/>
    </row>
    <row r="11" ht="16" customHeight="1">
      <c r="A11" s="25" t="inlineStr">
        <is>
          <t>M3 Hammer Head T-nuts</t>
        </is>
      </c>
      <c r="B11" s="26" t="n">
        <v>60</v>
      </c>
      <c r="C11" s="27" t="inlineStr">
        <is>
          <t>⚡ Buy All</t>
        </is>
      </c>
      <c r="D11" s="26" t="inlineStr"/>
      <c r="E11" s="26" t="inlineStr"/>
    </row>
    <row r="12" ht="16" customHeight="1">
      <c r="A12" s="25" t="inlineStr">
        <is>
          <t>M3 Threaded Insert (M3x5x4)</t>
        </is>
      </c>
      <c r="B12" s="26" t="n">
        <v>110</v>
      </c>
      <c r="C12" s="27" t="inlineStr">
        <is>
          <t>⚡ Buy All</t>
        </is>
      </c>
      <c r="D12" s="26" t="inlineStr"/>
      <c r="E12" s="26" t="inlineStr"/>
    </row>
    <row r="13" ht="16" customHeight="1">
      <c r="A13" s="28" t="inlineStr">
        <is>
          <t>Rubber Foot (1.5x.75", 38x19mm)</t>
        </is>
      </c>
      <c r="B13" s="29" t="n">
        <v>4</v>
      </c>
      <c r="C13" s="29" t="inlineStr"/>
      <c r="D13" s="29" t="inlineStr"/>
      <c r="E13" s="29" t="inlineStr"/>
    </row>
    <row r="14" ht="16" customHeight="1">
      <c r="A14" s="30" t="inlineStr">
        <is>
          <t>OpenBuilds Billet Angle Corner Connector (2020)</t>
        </is>
      </c>
      <c r="B14" s="31" t="n">
        <v>4</v>
      </c>
      <c r="C14" s="31" t="inlineStr"/>
      <c r="D14" s="31" t="inlineStr"/>
      <c r="E14" s="31" t="inlineStr"/>
    </row>
    <row r="15" ht="16" customHeight="1">
      <c r="A15" s="28" t="inlineStr">
        <is>
          <t>Misumi HFSB5-2020-290</t>
        </is>
      </c>
      <c r="B15" s="29" t="n">
        <v>1</v>
      </c>
      <c r="C15" s="29" t="inlineStr"/>
      <c r="D15" s="29" t="inlineStr"/>
      <c r="E15" s="29" t="inlineStr"/>
    </row>
    <row r="16" ht="16" customHeight="1">
      <c r="A16" s="30" t="inlineStr">
        <is>
          <t>Misumi HFSB5-2020-380</t>
        </is>
      </c>
      <c r="B16" s="31" t="n">
        <v>1</v>
      </c>
      <c r="C16" s="31" t="inlineStr"/>
      <c r="D16" s="31" t="inlineStr"/>
      <c r="E16" s="31" t="inlineStr"/>
    </row>
    <row r="17" ht="16" customHeight="1">
      <c r="A17" s="28" t="inlineStr">
        <is>
          <t>Misumi HFSB5-2020-400</t>
        </is>
      </c>
      <c r="B17" s="29" t="n">
        <v>2</v>
      </c>
      <c r="C17" s="29" t="inlineStr"/>
      <c r="D17" s="29" t="inlineStr"/>
      <c r="E17" s="29" t="inlineStr"/>
    </row>
    <row r="18" ht="16" customHeight="1">
      <c r="A18" s="30" t="inlineStr">
        <is>
          <t>Misumi HFSB5-2020-420-TPW</t>
        </is>
      </c>
      <c r="B18" s="31" t="n">
        <v>10</v>
      </c>
      <c r="C18" s="31" t="inlineStr"/>
      <c r="D18" s="31" t="inlineStr"/>
      <c r="E18" s="31" t="inlineStr"/>
    </row>
    <row r="19" ht="16" customHeight="1">
      <c r="A19" s="28" t="inlineStr">
        <is>
          <t>Misumi HFSB5-2020-480-LCP-RCP</t>
        </is>
      </c>
      <c r="B19" s="29" t="n">
        <v>4</v>
      </c>
      <c r="C19" s="29" t="inlineStr"/>
      <c r="D19" s="29" t="inlineStr"/>
      <c r="E19" s="29" t="inlineStr"/>
    </row>
    <row r="20" ht="16" customHeight="1">
      <c r="A20" s="25" t="inlineStr">
        <is>
          <t>Loctite Blue Threadlocker Stick</t>
        </is>
      </c>
      <c r="B20" s="26" t="n">
        <v>1</v>
      </c>
      <c r="C20" s="27" t="inlineStr">
        <is>
          <t>⚡ Buy All</t>
        </is>
      </c>
      <c r="D20" s="26" t="inlineStr"/>
      <c r="E20" s="26" t="inlineStr"/>
    </row>
    <row r="22" ht="20" customHeight="1">
      <c r="A22" s="4" t="inlineStr">
        <is>
          <t xml:space="preserve">  ▶  2 – Z DRIVE ASSEMBLY</t>
        </is>
      </c>
    </row>
    <row r="23" ht="16" customHeight="1">
      <c r="A23" s="24" t="inlineStr">
        <is>
          <t>Part</t>
        </is>
      </c>
      <c r="B23" s="24" t="inlineStr">
        <is>
          <t>Qty</t>
        </is>
      </c>
      <c r="C23" s="24" t="inlineStr">
        <is>
          <t>Buy All?</t>
        </is>
      </c>
      <c r="D23" s="24" t="inlineStr">
        <is>
          <t>☐ Ordered</t>
        </is>
      </c>
      <c r="E23" s="24" t="inlineStr">
        <is>
          <t>☐ Received</t>
        </is>
      </c>
    </row>
    <row r="24" ht="16" customHeight="1">
      <c r="A24" s="25" t="inlineStr">
        <is>
          <t>M3x40 SHCS</t>
        </is>
      </c>
      <c r="B24" s="26" t="n">
        <v>30</v>
      </c>
      <c r="C24" s="27" t="inlineStr">
        <is>
          <t>⚡ Buy All</t>
        </is>
      </c>
      <c r="D24" s="26" t="inlineStr"/>
      <c r="E24" s="26" t="inlineStr"/>
    </row>
    <row r="25" ht="16" customHeight="1">
      <c r="A25" s="25" t="inlineStr">
        <is>
          <t>M3x30 SHCS</t>
        </is>
      </c>
      <c r="B25" s="26" t="n">
        <v>25</v>
      </c>
      <c r="C25" s="27" t="inlineStr">
        <is>
          <t>⚡ Buy All</t>
        </is>
      </c>
      <c r="D25" s="26" t="inlineStr"/>
      <c r="E25" s="26" t="inlineStr"/>
    </row>
    <row r="26" ht="16" customHeight="1">
      <c r="A26" s="25" t="inlineStr">
        <is>
          <t>M3x20 SHCS</t>
        </is>
      </c>
      <c r="B26" s="26" t="n">
        <v>22</v>
      </c>
      <c r="C26" s="27" t="inlineStr">
        <is>
          <t>⚡ Buy All</t>
        </is>
      </c>
      <c r="D26" s="26" t="inlineStr"/>
      <c r="E26" s="26" t="inlineStr"/>
    </row>
    <row r="27" ht="16" customHeight="1">
      <c r="A27" s="25" t="inlineStr">
        <is>
          <t>M3x16 SHCS</t>
        </is>
      </c>
      <c r="B27" s="26" t="n">
        <v>20</v>
      </c>
      <c r="C27" s="27" t="inlineStr">
        <is>
          <t>⚡ Buy All</t>
        </is>
      </c>
      <c r="D27" s="26" t="inlineStr"/>
      <c r="E27" s="26" t="inlineStr"/>
    </row>
    <row r="28" ht="16" customHeight="1">
      <c r="A28" s="25" t="inlineStr">
        <is>
          <t>M3x8 SHCS</t>
        </is>
      </c>
      <c r="B28" s="26" t="n">
        <v>180</v>
      </c>
      <c r="C28" s="27" t="inlineStr">
        <is>
          <t>⚡ Buy All</t>
        </is>
      </c>
      <c r="D28" s="26" t="inlineStr"/>
      <c r="E28" s="26" t="inlineStr"/>
    </row>
    <row r="29" ht="16" customHeight="1">
      <c r="A29" s="25" t="inlineStr">
        <is>
          <t>M3 Hexnut</t>
        </is>
      </c>
      <c r="B29" s="26" t="n">
        <v>6</v>
      </c>
      <c r="C29" s="27" t="inlineStr">
        <is>
          <t>⚡ Buy All</t>
        </is>
      </c>
      <c r="D29" s="26" t="inlineStr"/>
      <c r="E29" s="26" t="inlineStr"/>
    </row>
    <row r="30" ht="16" customHeight="1">
      <c r="A30" s="25" t="inlineStr">
        <is>
          <t>M3 Washer</t>
        </is>
      </c>
      <c r="B30" s="26" t="n">
        <v>4</v>
      </c>
      <c r="C30" s="27" t="inlineStr">
        <is>
          <t>⚡ Buy All</t>
        </is>
      </c>
      <c r="D30" s="26" t="inlineStr"/>
      <c r="E30" s="26" t="inlineStr"/>
    </row>
    <row r="31" ht="16" customHeight="1">
      <c r="A31" s="28" t="inlineStr">
        <is>
          <t>GT2 80T Pulley (5mm ID 6mm W)</t>
        </is>
      </c>
      <c r="B31" s="29" t="n">
        <v>4</v>
      </c>
      <c r="C31" s="29" t="inlineStr"/>
      <c r="D31" s="29" t="inlineStr"/>
      <c r="E31" s="29" t="inlineStr"/>
    </row>
    <row r="32" ht="16" customHeight="1">
      <c r="A32" s="25" t="inlineStr">
        <is>
          <t>F695 Bearing</t>
        </is>
      </c>
      <c r="B32" s="26" t="n">
        <v>20</v>
      </c>
      <c r="C32" s="27" t="inlineStr">
        <is>
          <t>⚡ Buy All</t>
        </is>
      </c>
      <c r="D32" s="26" t="inlineStr"/>
      <c r="E32" s="26" t="inlineStr"/>
    </row>
    <row r="33" ht="16" customHeight="1">
      <c r="A33" s="25" t="inlineStr">
        <is>
          <t>625 Bearing</t>
        </is>
      </c>
      <c r="B33" s="26" t="n">
        <v>12</v>
      </c>
      <c r="C33" s="27" t="inlineStr">
        <is>
          <t>⚡ Buy All</t>
        </is>
      </c>
      <c r="D33" s="26" t="inlineStr"/>
      <c r="E33" s="26" t="inlineStr"/>
    </row>
    <row r="34" ht="16" customHeight="1">
      <c r="A34" s="30" t="inlineStr">
        <is>
          <t>GT2 Belt Loop (6mm W) - 188mm</t>
        </is>
      </c>
      <c r="B34" s="31" t="n">
        <v>4</v>
      </c>
      <c r="C34" s="31" t="inlineStr"/>
      <c r="D34" s="31" t="inlineStr"/>
      <c r="E34" s="31" t="inlineStr"/>
    </row>
    <row r="35" ht="16" customHeight="1">
      <c r="A35" s="28" t="inlineStr">
        <is>
          <t>Linear Rail MGN9H 350mm</t>
        </is>
      </c>
      <c r="B35" s="29" t="n">
        <v>6</v>
      </c>
      <c r="C35" s="29" t="inlineStr"/>
      <c r="D35" s="29" t="inlineStr"/>
      <c r="E35" s="29" t="inlineStr"/>
    </row>
    <row r="36" ht="16" customHeight="1">
      <c r="A36" s="25" t="inlineStr">
        <is>
          <t>NEMA17 Motor 17HS19-2004S</t>
        </is>
      </c>
      <c r="B36" s="26" t="n">
        <v>6</v>
      </c>
      <c r="C36" s="27" t="inlineStr">
        <is>
          <t>⚡ Buy All</t>
        </is>
      </c>
      <c r="D36" s="26" t="inlineStr"/>
      <c r="E36" s="26" t="inlineStr"/>
    </row>
    <row r="37" ht="16" customHeight="1">
      <c r="A37" s="25" t="inlineStr">
        <is>
          <t>Mobil EP1/2 Grease</t>
        </is>
      </c>
      <c r="B37" s="26" t="n">
        <v>1</v>
      </c>
      <c r="C37" s="27" t="inlineStr">
        <is>
          <t>⚡ Buy All</t>
        </is>
      </c>
      <c r="D37" s="26" t="inlineStr"/>
      <c r="E37" s="26" t="inlineStr"/>
    </row>
    <row r="39" ht="20" customHeight="1">
      <c r="A39" s="4" t="inlineStr">
        <is>
          <t xml:space="preserve">  ▶  3 – AB DRIVE MODULES</t>
        </is>
      </c>
    </row>
    <row r="40" ht="16" customHeight="1">
      <c r="A40" s="24" t="inlineStr">
        <is>
          <t>Part</t>
        </is>
      </c>
      <c r="B40" s="24" t="inlineStr">
        <is>
          <t>Qty</t>
        </is>
      </c>
      <c r="C40" s="24" t="inlineStr">
        <is>
          <t>Buy All?</t>
        </is>
      </c>
      <c r="D40" s="24" t="inlineStr">
        <is>
          <t>☐ Ordered</t>
        </is>
      </c>
      <c r="E40" s="24" t="inlineStr">
        <is>
          <t>☐ Received</t>
        </is>
      </c>
    </row>
    <row r="41" ht="16" customHeight="1">
      <c r="A41" s="25" t="inlineStr">
        <is>
          <t>M5 1mm Shim</t>
        </is>
      </c>
      <c r="B41" s="26" t="n">
        <v>42</v>
      </c>
      <c r="C41" s="27" t="inlineStr">
        <is>
          <t>⚡ Buy All</t>
        </is>
      </c>
      <c r="D41" s="26" t="inlineStr"/>
      <c r="E41" s="26" t="inlineStr"/>
    </row>
    <row r="42" ht="16" customHeight="1">
      <c r="A42" s="25" t="inlineStr">
        <is>
          <t>M3x25 SHCS</t>
        </is>
      </c>
      <c r="B42" s="26" t="n">
        <v>6</v>
      </c>
      <c r="C42" s="27" t="inlineStr">
        <is>
          <t>⚡ Buy All</t>
        </is>
      </c>
      <c r="D42" s="26" t="inlineStr"/>
      <c r="E42" s="26" t="inlineStr"/>
    </row>
    <row r="43" ht="16" customHeight="1">
      <c r="A43" s="25" t="inlineStr">
        <is>
          <t>M3x12 SHCS</t>
        </is>
      </c>
      <c r="B43" s="26" t="n">
        <v>41</v>
      </c>
      <c r="C43" s="27" t="inlineStr">
        <is>
          <t>⚡ Buy All</t>
        </is>
      </c>
      <c r="D43" s="26" t="inlineStr"/>
      <c r="E43" s="26" t="inlineStr"/>
    </row>
    <row r="44" ht="16" customHeight="1">
      <c r="A44" s="30" t="inlineStr">
        <is>
          <t>GT2 20T Pulley (5mm ID 6mm W)</t>
        </is>
      </c>
      <c r="B44" s="31" t="n">
        <v>3</v>
      </c>
      <c r="C44" s="31" t="inlineStr"/>
      <c r="D44" s="31" t="inlineStr"/>
      <c r="E44" s="31" t="inlineStr"/>
    </row>
    <row r="45" ht="16" customHeight="1">
      <c r="A45" s="28" t="inlineStr">
        <is>
          <t>GT2 20T Pulley (5mm ID 9mm W)</t>
        </is>
      </c>
      <c r="B45" s="29" t="n">
        <v>4</v>
      </c>
      <c r="C45" s="29" t="inlineStr"/>
      <c r="D45" s="29" t="inlineStr"/>
      <c r="E45" s="29" t="inlineStr"/>
    </row>
    <row r="46" ht="16" customHeight="1">
      <c r="A46" s="30" t="inlineStr">
        <is>
          <t>GT2 16T Pulley (5mm ID 6mm W)</t>
        </is>
      </c>
      <c r="B46" s="31" t="n">
        <v>4</v>
      </c>
      <c r="C46" s="31" t="inlineStr"/>
      <c r="D46" s="31" t="inlineStr"/>
      <c r="E46" s="31" t="inlineStr"/>
    </row>
    <row r="47" ht="16" customHeight="1">
      <c r="A47" s="28" t="inlineStr">
        <is>
          <t>GT2 20T Toothed Idler (5mm ID 6mm W)</t>
        </is>
      </c>
      <c r="B47" s="29" t="n">
        <v>2</v>
      </c>
      <c r="C47" s="29" t="inlineStr"/>
      <c r="D47" s="29" t="inlineStr"/>
      <c r="E47" s="29" t="inlineStr"/>
    </row>
    <row r="48" ht="16" customHeight="1">
      <c r="A48" s="30" t="inlineStr">
        <is>
          <t>GT2 20T Toothed Idler (5mm ID 9mm W)</t>
        </is>
      </c>
      <c r="B48" s="31" t="n">
        <v>4</v>
      </c>
      <c r="C48" s="31" t="inlineStr"/>
      <c r="D48" s="31" t="inlineStr"/>
      <c r="E48" s="31" t="inlineStr"/>
    </row>
    <row r="49" ht="16" customHeight="1">
      <c r="A49" s="28" t="inlineStr">
        <is>
          <t>Ø5x60mm Shaft, D Cut</t>
        </is>
      </c>
      <c r="B49" s="29" t="n">
        <v>4</v>
      </c>
      <c r="C49" s="29" t="inlineStr"/>
      <c r="D49" s="29" t="inlineStr"/>
      <c r="E49" s="29" t="inlineStr"/>
    </row>
    <row r="50" ht="16" customHeight="1">
      <c r="A50" s="30" t="inlineStr">
        <is>
          <t>Ø5x35mm Shaft (trim to size)</t>
        </is>
      </c>
      <c r="B50" s="31" t="n">
        <v>1</v>
      </c>
      <c r="C50" s="31" t="inlineStr"/>
      <c r="D50" s="31" t="inlineStr"/>
      <c r="E50" s="31" t="inlineStr"/>
    </row>
    <row r="51" ht="16" customHeight="1">
      <c r="A51" s="28" t="inlineStr">
        <is>
          <t>GT2 Open Belt LL-2GT-6 (6mm wide) - 1800mm</t>
        </is>
      </c>
      <c r="B51" s="29" t="n">
        <v>2</v>
      </c>
      <c r="C51" s="29" t="inlineStr"/>
      <c r="D51" s="29" t="inlineStr"/>
      <c r="E51" s="29" t="inlineStr"/>
    </row>
    <row r="53" ht="20" customHeight="1">
      <c r="A53" s="4" t="inlineStr">
        <is>
          <t xml:space="preserve">  ▶  4 – GANTRY / XY JOINTS</t>
        </is>
      </c>
    </row>
    <row r="54" ht="16" customHeight="1">
      <c r="A54" s="24" t="inlineStr">
        <is>
          <t>Part</t>
        </is>
      </c>
      <c r="B54" s="24" t="inlineStr">
        <is>
          <t>Qty</t>
        </is>
      </c>
      <c r="C54" s="24" t="inlineStr">
        <is>
          <t>Buy All?</t>
        </is>
      </c>
      <c r="D54" s="24" t="inlineStr">
        <is>
          <t>☐ Ordered</t>
        </is>
      </c>
      <c r="E54" s="24" t="inlineStr">
        <is>
          <t>☐ Received</t>
        </is>
      </c>
    </row>
    <row r="55" ht="16" customHeight="1">
      <c r="A55" s="25" t="inlineStr">
        <is>
          <t>M3x10 FHCS</t>
        </is>
      </c>
      <c r="B55" s="26" t="n">
        <v>4</v>
      </c>
      <c r="C55" s="27" t="inlineStr">
        <is>
          <t>⚡ Buy All</t>
        </is>
      </c>
      <c r="D55" s="26" t="inlineStr"/>
      <c r="E55" s="26" t="inlineStr"/>
    </row>
    <row r="56" ht="16" customHeight="1">
      <c r="A56" s="25" t="inlineStr">
        <is>
          <t>M3x6 FHCS</t>
        </is>
      </c>
      <c r="B56" s="26" t="n">
        <v>8</v>
      </c>
      <c r="C56" s="27" t="inlineStr">
        <is>
          <t>⚡ Buy All</t>
        </is>
      </c>
      <c r="D56" s="26" t="inlineStr"/>
      <c r="E56" s="26" t="inlineStr"/>
    </row>
    <row r="57" ht="16" customHeight="1">
      <c r="A57" s="28" t="inlineStr">
        <is>
          <t>Linear Rail MGN12H 350mm</t>
        </is>
      </c>
      <c r="B57" s="29" t="n">
        <v>1</v>
      </c>
      <c r="C57" s="29" t="inlineStr"/>
      <c r="D57" s="29" t="inlineStr"/>
      <c r="E57" s="29" t="inlineStr"/>
    </row>
    <row r="58" ht="16" customHeight="1">
      <c r="A58" s="30" t="inlineStr">
        <is>
          <t>Omron D2F-01L Micro Switch</t>
        </is>
      </c>
      <c r="B58" s="31" t="n">
        <v>3</v>
      </c>
      <c r="C58" s="31" t="inlineStr"/>
      <c r="D58" s="31" t="inlineStr"/>
      <c r="E58" s="31" t="inlineStr"/>
    </row>
    <row r="60" ht="20" customHeight="1">
      <c r="A60" s="4" t="inlineStr">
        <is>
          <t xml:space="preserve">  ▶  5 – TOOLHEAD</t>
        </is>
      </c>
    </row>
    <row r="61" ht="16" customHeight="1">
      <c r="A61" s="24" t="inlineStr">
        <is>
          <t>Part</t>
        </is>
      </c>
      <c r="B61" s="24" t="inlineStr">
        <is>
          <t>Qty</t>
        </is>
      </c>
      <c r="C61" s="24" t="inlineStr">
        <is>
          <t>Buy All?</t>
        </is>
      </c>
      <c r="D61" s="24" t="inlineStr">
        <is>
          <t>☐ Ordered</t>
        </is>
      </c>
      <c r="E61" s="24" t="inlineStr">
        <is>
          <t>☐ Received</t>
        </is>
      </c>
    </row>
    <row r="62" ht="16" customHeight="1">
      <c r="A62" s="30" t="inlineStr">
        <is>
          <t>BMG Extruder Components Kit</t>
        </is>
      </c>
      <c r="B62" s="31" t="n">
        <v>1</v>
      </c>
      <c r="C62" s="31" t="inlineStr"/>
      <c r="D62" s="31" t="inlineStr"/>
      <c r="E62" s="31" t="inlineStr"/>
    </row>
    <row r="63" ht="16" customHeight="1">
      <c r="A63" s="28" t="inlineStr">
        <is>
          <t>Inductive Probe (See sourcing guide)</t>
        </is>
      </c>
      <c r="B63" s="29" t="n">
        <v>1</v>
      </c>
      <c r="C63" s="29" t="inlineStr"/>
      <c r="D63" s="29" t="inlineStr"/>
      <c r="E63" s="29" t="inlineStr"/>
    </row>
    <row r="64" ht="16" customHeight="1">
      <c r="A64" s="30" t="inlineStr">
        <is>
          <t>Hotend Kit (24V)</t>
        </is>
      </c>
      <c r="B64" s="31" t="n">
        <v>1</v>
      </c>
      <c r="C64" s="31" t="inlineStr"/>
      <c r="D64" s="31" t="inlineStr"/>
      <c r="E64" s="31" t="inlineStr"/>
    </row>
    <row r="65" ht="16" customHeight="1">
      <c r="A65" s="28" t="inlineStr">
        <is>
          <t>50x50x15 Centrifugal Fan (24V)</t>
        </is>
      </c>
      <c r="B65" s="29" t="n">
        <v>1</v>
      </c>
      <c r="C65" s="29" t="inlineStr"/>
      <c r="D65" s="29" t="inlineStr"/>
      <c r="E65" s="29" t="inlineStr"/>
    </row>
    <row r="66" ht="16" customHeight="1">
      <c r="A66" s="30" t="inlineStr">
        <is>
          <t>40x40x10 Axial Fan (24V)</t>
        </is>
      </c>
      <c r="B66" s="31" t="n">
        <v>1</v>
      </c>
      <c r="C66" s="31" t="inlineStr"/>
      <c r="D66" s="31" t="inlineStr"/>
      <c r="E66" s="31" t="inlineStr"/>
    </row>
    <row r="67" ht="16" customHeight="1">
      <c r="A67" s="28" t="inlineStr">
        <is>
          <t>NEMA14 Motor 36STH20-1004AHG</t>
        </is>
      </c>
      <c r="B67" s="29" t="n">
        <v>1</v>
      </c>
      <c r="C67" s="29" t="inlineStr"/>
      <c r="D67" s="29" t="inlineStr"/>
      <c r="E67" s="29" t="inlineStr"/>
    </row>
    <row r="68" ht="16" customHeight="1">
      <c r="A68" s="30" t="inlineStr">
        <is>
          <t>4mm Threaded Bowden Coupler</t>
        </is>
      </c>
      <c r="B68" s="31" t="n">
        <v>1</v>
      </c>
      <c r="C68" s="31" t="inlineStr"/>
      <c r="D68" s="31" t="inlineStr"/>
      <c r="E68" s="31" t="inlineStr"/>
    </row>
    <row r="69" ht="16" customHeight="1">
      <c r="A69" s="25" t="inlineStr">
        <is>
          <t>Ø6x3mm Neodimium Magnet</t>
        </is>
      </c>
      <c r="B69" s="26" t="n">
        <v>8</v>
      </c>
      <c r="C69" s="27" t="inlineStr">
        <is>
          <t>⚡ Buy All</t>
        </is>
      </c>
      <c r="D69" s="26" t="inlineStr"/>
      <c r="E69" s="26" t="inlineStr"/>
    </row>
    <row r="70" ht="16" customHeight="1">
      <c r="A70" s="30" t="inlineStr">
        <is>
          <t>PTFE Tube (4mm OD 3mm ID) - 1000mm</t>
        </is>
      </c>
      <c r="B70" s="31" t="n">
        <v>1</v>
      </c>
      <c r="C70" s="31" t="inlineStr"/>
      <c r="D70" s="31" t="inlineStr"/>
      <c r="E70" s="31" t="inlineStr"/>
    </row>
    <row r="71" ht="16" customHeight="1">
      <c r="A71" s="28" t="inlineStr">
        <is>
          <t>PTFE Tube (4mm OD 2mm ID) - 300mm</t>
        </is>
      </c>
      <c r="B71" s="29" t="n">
        <v>1</v>
      </c>
      <c r="C71" s="29" t="inlineStr"/>
      <c r="D71" s="29" t="inlineStr"/>
      <c r="E71" s="29" t="inlineStr"/>
    </row>
    <row r="73" ht="20" customHeight="1">
      <c r="A73" s="4" t="inlineStr">
        <is>
          <t xml:space="preserve">  ▶  6 – BELTING Z DRIVE</t>
        </is>
      </c>
    </row>
    <row r="74" ht="16" customHeight="1">
      <c r="A74" s="24" t="inlineStr">
        <is>
          <t>Part</t>
        </is>
      </c>
      <c r="B74" s="24" t="inlineStr">
        <is>
          <t>Qty</t>
        </is>
      </c>
      <c r="C74" s="24" t="inlineStr">
        <is>
          <t>Buy All?</t>
        </is>
      </c>
      <c r="D74" s="24" t="inlineStr">
        <is>
          <t>☐ Ordered</t>
        </is>
      </c>
      <c r="E74" s="24" t="inlineStr">
        <is>
          <t>☐ Received</t>
        </is>
      </c>
    </row>
    <row r="75" ht="16" customHeight="1">
      <c r="A75" s="28" t="inlineStr">
        <is>
          <t>GT2 Open Belt LL-2GT-9 (9mm wide) - 1100mm</t>
        </is>
      </c>
      <c r="B75" s="29" t="n">
        <v>4</v>
      </c>
      <c r="C75" s="29" t="inlineStr"/>
      <c r="D75" s="29" t="inlineStr"/>
      <c r="E75" s="29" t="inlineStr"/>
    </row>
    <row r="77" ht="20" customHeight="1">
      <c r="A77" s="4" t="inlineStr">
        <is>
          <t xml:space="preserve">  ▶  7 – LCD MODULE</t>
        </is>
      </c>
    </row>
    <row r="78" ht="16" customHeight="1">
      <c r="A78" s="24" t="inlineStr">
        <is>
          <t>Part</t>
        </is>
      </c>
      <c r="B78" s="24" t="inlineStr">
        <is>
          <t>Qty</t>
        </is>
      </c>
      <c r="C78" s="24" t="inlineStr">
        <is>
          <t>Buy All?</t>
        </is>
      </c>
      <c r="D78" s="24" t="inlineStr">
        <is>
          <t>☐ Ordered</t>
        </is>
      </c>
      <c r="E78" s="24" t="inlineStr">
        <is>
          <t>☐ Received</t>
        </is>
      </c>
    </row>
    <row r="79" ht="16" customHeight="1">
      <c r="A79" s="28" t="inlineStr">
        <is>
          <t>Mini 12864 Display</t>
        </is>
      </c>
      <c r="B79" s="29" t="n">
        <v>1</v>
      </c>
      <c r="C79" s="29" t="inlineStr"/>
      <c r="D79" s="29" t="inlineStr"/>
      <c r="E79" s="29" t="inlineStr"/>
    </row>
    <row r="81" ht="20" customHeight="1">
      <c r="A81" s="4" t="inlineStr">
        <is>
          <t xml:space="preserve">  ▶  8 – SKIRTS</t>
        </is>
      </c>
    </row>
    <row r="82" ht="16" customHeight="1">
      <c r="A82" s="24" t="inlineStr">
        <is>
          <t>Part</t>
        </is>
      </c>
      <c r="B82" s="24" t="inlineStr">
        <is>
          <t>Qty</t>
        </is>
      </c>
      <c r="C82" s="24" t="inlineStr">
        <is>
          <t>Buy All?</t>
        </is>
      </c>
      <c r="D82" s="24" t="inlineStr">
        <is>
          <t>☐ Ordered</t>
        </is>
      </c>
      <c r="E82" s="24" t="inlineStr">
        <is>
          <t>☐ Received</t>
        </is>
      </c>
    </row>
    <row r="83" ht="16" customHeight="1">
      <c r="A83" s="25" t="inlineStr">
        <is>
          <t>M3x6 BHCS</t>
        </is>
      </c>
      <c r="B83" s="26" t="n">
        <v>11</v>
      </c>
      <c r="C83" s="27" t="inlineStr">
        <is>
          <t>⚡ Buy All</t>
        </is>
      </c>
      <c r="D83" s="26" t="inlineStr"/>
      <c r="E83" s="26" t="inlineStr"/>
    </row>
    <row r="84" ht="16" customHeight="1">
      <c r="A84" s="30" t="inlineStr">
        <is>
          <t>60x60x20 Fan (24V)</t>
        </is>
      </c>
      <c r="B84" s="31" t="n">
        <v>3</v>
      </c>
      <c r="C84" s="31" t="inlineStr"/>
      <c r="D84" s="31" t="inlineStr"/>
      <c r="E84" s="31" t="inlineStr"/>
    </row>
    <row r="86" ht="20" customHeight="1">
      <c r="A86" s="4" t="inlineStr">
        <is>
          <t xml:space="preserve">  ▶  9 – PANELS</t>
        </is>
      </c>
    </row>
    <row r="87" ht="16" customHeight="1">
      <c r="A87" s="24" t="inlineStr">
        <is>
          <t>Part</t>
        </is>
      </c>
      <c r="B87" s="24" t="inlineStr">
        <is>
          <t>Qty</t>
        </is>
      </c>
      <c r="C87" s="24" t="inlineStr">
        <is>
          <t>Buy All?</t>
        </is>
      </c>
      <c r="D87" s="24" t="inlineStr">
        <is>
          <t>☐ Ordered</t>
        </is>
      </c>
      <c r="E87" s="24" t="inlineStr">
        <is>
          <t>☐ Received</t>
        </is>
      </c>
    </row>
    <row r="88" ht="16" customHeight="1">
      <c r="A88" s="30" t="inlineStr">
        <is>
          <t>Single Sided Foam Tape 1mm Thick (5m)</t>
        </is>
      </c>
      <c r="B88" s="31" t="n">
        <v>1</v>
      </c>
      <c r="C88" s="31" t="inlineStr"/>
      <c r="D88" s="31" t="inlineStr"/>
      <c r="E88" s="31" t="inlineStr"/>
    </row>
    <row r="89" ht="16" customHeight="1">
      <c r="A89" s="28" t="inlineStr">
        <is>
          <t>Single Sided Foam Tape 3mm Thick (5m)</t>
        </is>
      </c>
      <c r="B89" s="29" t="n">
        <v>1</v>
      </c>
      <c r="C89" s="29" t="inlineStr"/>
      <c r="D89" s="29" t="inlineStr"/>
      <c r="E89" s="29" t="inlineStr"/>
    </row>
    <row r="90" ht="16" customHeight="1">
      <c r="A90" s="30" t="inlineStr">
        <is>
          <t>Coroplast Sheet - 419x419x4 mm</t>
        </is>
      </c>
      <c r="B90" s="31" t="n">
        <v>2</v>
      </c>
      <c r="C90" s="31" t="inlineStr"/>
      <c r="D90" s="31" t="inlineStr"/>
      <c r="E90" s="31" t="inlineStr"/>
    </row>
    <row r="91" ht="16" customHeight="1">
      <c r="A91" s="28" t="inlineStr">
        <is>
          <t>Coroplast Sheet - 433x453x4 mm</t>
        </is>
      </c>
      <c r="B91" s="29" t="n">
        <v>1</v>
      </c>
      <c r="C91" s="29" t="inlineStr"/>
      <c r="D91" s="29" t="inlineStr"/>
      <c r="E91" s="29" t="inlineStr"/>
    </row>
    <row r="92" ht="16" customHeight="1">
      <c r="A92" s="30" t="inlineStr">
        <is>
          <t>Acrylic Sheet Clear - 216.5x453x3 mm</t>
        </is>
      </c>
      <c r="B92" s="31" t="n">
        <v>2</v>
      </c>
      <c r="C92" s="31" t="inlineStr"/>
      <c r="D92" s="31" t="inlineStr"/>
      <c r="E92" s="31" t="inlineStr"/>
    </row>
    <row r="93" ht="16" customHeight="1">
      <c r="A93" s="28" t="inlineStr">
        <is>
          <t>Acrylic Sheet Clear - 433x453x3 mm</t>
        </is>
      </c>
      <c r="B93" s="29" t="n">
        <v>2</v>
      </c>
      <c r="C93" s="29" t="inlineStr"/>
      <c r="D93" s="29" t="inlineStr"/>
      <c r="E93" s="29" t="inlineStr"/>
    </row>
    <row r="94" ht="16" customHeight="1">
      <c r="A94" s="30" t="inlineStr">
        <is>
          <t>Acrylic Sheet Clear - 433x433x3 mm</t>
        </is>
      </c>
      <c r="B94" s="31" t="n">
        <v>1</v>
      </c>
      <c r="C94" s="31" t="inlineStr"/>
      <c r="D94" s="31" t="inlineStr"/>
      <c r="E94" s="31" t="inlineStr"/>
    </row>
    <row r="96" ht="20" customHeight="1">
      <c r="A96" s="4" t="inlineStr">
        <is>
          <t xml:space="preserve">  ▶  11 – EXHAUST FILTER</t>
        </is>
      </c>
    </row>
    <row r="97" ht="16" customHeight="1">
      <c r="A97" s="24" t="inlineStr">
        <is>
          <t>Part</t>
        </is>
      </c>
      <c r="B97" s="24" t="inlineStr">
        <is>
          <t>Qty</t>
        </is>
      </c>
      <c r="C97" s="24" t="inlineStr">
        <is>
          <t>Buy All?</t>
        </is>
      </c>
      <c r="D97" s="24" t="inlineStr">
        <is>
          <t>☐ Ordered</t>
        </is>
      </c>
      <c r="E97" s="24" t="inlineStr">
        <is>
          <t>☐ Received</t>
        </is>
      </c>
    </row>
    <row r="98" ht="16" customHeight="1">
      <c r="A98" s="30" t="inlineStr">
        <is>
          <t>Fume Extractor Carbon Filter Element</t>
        </is>
      </c>
      <c r="B98" s="31" t="n">
        <v>1</v>
      </c>
      <c r="C98" s="31" t="inlineStr"/>
      <c r="D98" s="31" t="inlineStr"/>
      <c r="E98" s="31" t="inlineStr"/>
    </row>
    <row r="100" ht="20" customHeight="1">
      <c r="A100" s="4" t="inlineStr">
        <is>
          <t xml:space="preserve">  ▶  12 – ELECTRONICS</t>
        </is>
      </c>
    </row>
    <row r="101" ht="16" customHeight="1">
      <c r="A101" s="24" t="inlineStr">
        <is>
          <t>Part</t>
        </is>
      </c>
      <c r="B101" s="24" t="inlineStr">
        <is>
          <t>Qty</t>
        </is>
      </c>
      <c r="C101" s="24" t="inlineStr">
        <is>
          <t>Buy All?</t>
        </is>
      </c>
      <c r="D101" s="24" t="inlineStr">
        <is>
          <t>☐ Ordered</t>
        </is>
      </c>
      <c r="E101" s="24" t="inlineStr">
        <is>
          <t>☐ Received</t>
        </is>
      </c>
    </row>
    <row r="102" ht="16" customHeight="1">
      <c r="A102" s="25" t="inlineStr">
        <is>
          <t>M3x50 SHCS</t>
        </is>
      </c>
      <c r="B102" s="26" t="n">
        <v>2</v>
      </c>
      <c r="C102" s="27" t="inlineStr">
        <is>
          <t>⚡ Buy All</t>
        </is>
      </c>
      <c r="D102" s="26" t="inlineStr"/>
      <c r="E102" s="26" t="inlineStr"/>
    </row>
    <row r="103" ht="16" customHeight="1">
      <c r="A103" s="25" t="inlineStr">
        <is>
          <t>M2x10 Self-tapping Screw</t>
        </is>
      </c>
      <c r="B103" s="26" t="n">
        <v>18</v>
      </c>
      <c r="C103" s="27" t="inlineStr">
        <is>
          <t>⚡ Buy All</t>
        </is>
      </c>
      <c r="D103" s="26" t="inlineStr"/>
      <c r="E103" s="26" t="inlineStr"/>
    </row>
    <row r="104" ht="16" customHeight="1">
      <c r="A104" s="30" t="inlineStr">
        <is>
          <t>ZF Rocker Switch DPST 16A ON-OFF</t>
        </is>
      </c>
      <c r="B104" s="31" t="n">
        <v>1</v>
      </c>
      <c r="C104" s="31" t="inlineStr"/>
      <c r="D104" s="31" t="inlineStr"/>
      <c r="E104" s="31" t="inlineStr"/>
    </row>
    <row r="105" ht="16" customHeight="1">
      <c r="A105" s="28" t="inlineStr">
        <is>
          <t>TycoElectronics 10EGG1-1 Filtered Power Inlet (NA/UK)</t>
        </is>
      </c>
      <c r="B105" s="29" t="n">
        <v>1</v>
      </c>
      <c r="C105" s="29" t="inlineStr"/>
      <c r="D105" s="29" t="inlineStr"/>
      <c r="E105" s="29" t="inlineStr"/>
    </row>
    <row r="106" ht="16" customHeight="1">
      <c r="A106" s="30" t="inlineStr">
        <is>
          <t>TycoElectronics 10EGG1-2 Filtered Power Inlet (EU)</t>
        </is>
      </c>
      <c r="B106" s="31" t="n">
        <v>1</v>
      </c>
      <c r="C106" s="31" t="inlineStr"/>
      <c r="D106" s="31" t="inlineStr"/>
      <c r="E106" s="31" t="inlineStr"/>
    </row>
    <row r="107" ht="16" customHeight="1">
      <c r="A107" s="25" t="inlineStr">
        <is>
          <t>Medium Blow Fuse 5x20mm 4A (220V mains)</t>
        </is>
      </c>
      <c r="B107" s="26" t="n">
        <v>2</v>
      </c>
      <c r="C107" s="27" t="inlineStr">
        <is>
          <t>⚡ Buy All</t>
        </is>
      </c>
      <c r="D107" s="26" t="inlineStr"/>
      <c r="E107" s="26" t="inlineStr"/>
    </row>
    <row r="108" ht="16" customHeight="1">
      <c r="A108" s="25" t="inlineStr">
        <is>
          <t>Medium Blow Fuse 5x20mm 8A (120v mains)</t>
        </is>
      </c>
      <c r="B108" s="26" t="n">
        <v>1</v>
      </c>
      <c r="C108" s="27" t="inlineStr">
        <is>
          <t>⚡ Buy All</t>
        </is>
      </c>
      <c r="D108" s="26" t="inlineStr"/>
      <c r="E108" s="26" t="inlineStr"/>
    </row>
    <row r="109" ht="16" customHeight="1">
      <c r="A109" s="28" t="inlineStr">
        <is>
          <t>Keystone CAT6 Insert (Optional)</t>
        </is>
      </c>
      <c r="B109" s="29" t="n">
        <v>1</v>
      </c>
      <c r="C109" s="29" t="inlineStr"/>
      <c r="D109" s="29" t="inlineStr"/>
      <c r="E109" s="29" t="inlineStr"/>
    </row>
    <row r="110" ht="16" customHeight="1">
      <c r="A110" s="30" t="inlineStr">
        <is>
          <t>Controller with 7+ Stepper outputs</t>
        </is>
      </c>
      <c r="B110" s="31" t="n">
        <v>1</v>
      </c>
      <c r="C110" s="31" t="inlineStr"/>
      <c r="D110" s="31" t="inlineStr"/>
      <c r="E110" s="31" t="inlineStr"/>
    </row>
    <row r="111" ht="16" customHeight="1">
      <c r="A111" s="25" t="inlineStr">
        <is>
          <t>TMC2209 Stepper Motor Driver</t>
        </is>
      </c>
      <c r="B111" s="26" t="n">
        <v>7</v>
      </c>
      <c r="C111" s="27" t="inlineStr">
        <is>
          <t>⚡ Buy All</t>
        </is>
      </c>
      <c r="D111" s="26" t="inlineStr"/>
      <c r="E111" s="26" t="inlineStr"/>
    </row>
    <row r="112" ht="16" customHeight="1">
      <c r="A112" s="30" t="inlineStr">
        <is>
          <t>USB Cable for selected controller</t>
        </is>
      </c>
      <c r="B112" s="31" t="n">
        <v>1</v>
      </c>
      <c r="C112" s="31" t="inlineStr"/>
      <c r="D112" s="31" t="inlineStr"/>
      <c r="E112" s="31" t="inlineStr"/>
    </row>
    <row r="113" ht="16" customHeight="1">
      <c r="A113" s="28" t="inlineStr">
        <is>
          <t>RaspberryPi 3B+ or better</t>
        </is>
      </c>
      <c r="B113" s="29" t="n">
        <v>1</v>
      </c>
      <c r="C113" s="29" t="inlineStr"/>
      <c r="D113" s="29" t="inlineStr"/>
      <c r="E113" s="29" t="inlineStr"/>
    </row>
    <row r="114" ht="16" customHeight="1">
      <c r="A114" s="30" t="inlineStr">
        <is>
          <t>Mean Well LRS-200-24 PSU</t>
        </is>
      </c>
      <c r="B114" s="31" t="n">
        <v>1</v>
      </c>
      <c r="C114" s="31" t="inlineStr"/>
      <c r="D114" s="31" t="inlineStr"/>
      <c r="E114" s="31" t="inlineStr"/>
    </row>
    <row r="115" ht="16" customHeight="1">
      <c r="A115" s="28" t="inlineStr">
        <is>
          <t>Mean Well RS-25-5 PSU</t>
        </is>
      </c>
      <c r="B115" s="29" t="n">
        <v>1</v>
      </c>
      <c r="C115" s="29" t="inlineStr"/>
      <c r="D115" s="29" t="inlineStr"/>
      <c r="E115" s="29" t="inlineStr"/>
    </row>
    <row r="116" ht="16" customHeight="1">
      <c r="A116" s="30" t="inlineStr">
        <is>
          <t>Omron G3A-210B-DC5 SSR</t>
        </is>
      </c>
      <c r="B116" s="31" t="n">
        <v>1</v>
      </c>
      <c r="C116" s="31" t="inlineStr"/>
      <c r="D116" s="31" t="inlineStr"/>
      <c r="E116" s="31" t="inlineStr"/>
    </row>
    <row r="117" ht="16" customHeight="1">
      <c r="A117" s="28" t="inlineStr">
        <is>
          <t>DIN Rail Mount Bracket for G3A SSR</t>
        </is>
      </c>
      <c r="B117" s="29" t="n">
        <v>1</v>
      </c>
      <c r="C117" s="29" t="inlineStr"/>
      <c r="D117" s="29" t="inlineStr"/>
      <c r="E117" s="29" t="inlineStr"/>
    </row>
    <row r="118" ht="16" customHeight="1">
      <c r="A118" s="30" t="inlineStr">
        <is>
          <t>BAT85 Diode</t>
        </is>
      </c>
      <c r="B118" s="31" t="n">
        <v>1</v>
      </c>
      <c r="C118" s="31" t="inlineStr"/>
      <c r="D118" s="31" t="inlineStr"/>
      <c r="E118" s="31" t="inlineStr"/>
    </row>
    <row r="119" ht="16" customHeight="1">
      <c r="A119" s="28" t="inlineStr">
        <is>
          <t>C13 Power Cord</t>
        </is>
      </c>
      <c r="B119" s="29" t="n">
        <v>1</v>
      </c>
      <c r="C119" s="29" t="inlineStr"/>
      <c r="D119" s="29" t="inlineStr"/>
      <c r="E119" s="29" t="inlineStr"/>
    </row>
    <row r="120" ht="16" customHeight="1">
      <c r="A120" s="30" t="inlineStr">
        <is>
          <t>DIN 3 Rails (35mm W) - 415mm</t>
        </is>
      </c>
      <c r="B120" s="31" t="n">
        <v>2</v>
      </c>
      <c r="C120" s="31" t="inlineStr"/>
      <c r="D120" s="31" t="inlineStr"/>
      <c r="E120" s="31" t="inlineStr"/>
    </row>
    <row r="121" ht="16" customHeight="1">
      <c r="A121" s="25" t="inlineStr">
        <is>
          <t>Nylon Cable Ties, Small (.07-.10", 1.8-2.7mm wide)</t>
        </is>
      </c>
      <c r="B121" s="26" t="n">
        <v>42</v>
      </c>
      <c r="C121" s="27" t="inlineStr">
        <is>
          <t>⚡ Buy All</t>
        </is>
      </c>
      <c r="D121" s="26" t="inlineStr"/>
      <c r="E121" s="26" t="inlineStr"/>
    </row>
    <row r="122" ht="16" customHeight="1">
      <c r="A122" s="30" t="inlineStr">
        <is>
          <t>18AWG Wire (10ft/3m total)</t>
        </is>
      </c>
      <c r="B122" s="31" t="n">
        <v>1</v>
      </c>
      <c r="C122" s="31" t="inlineStr"/>
      <c r="D122" s="31" t="inlineStr"/>
      <c r="E122" s="31" t="inlineStr"/>
    </row>
    <row r="123" ht="16" customHeight="1">
      <c r="A123" s="28" t="inlineStr">
        <is>
          <t>20AWG High-flex Wire (10ft/3m total)</t>
        </is>
      </c>
      <c r="B123" s="29" t="n">
        <v>1</v>
      </c>
      <c r="C123" s="29" t="inlineStr"/>
      <c r="D123" s="29" t="inlineStr"/>
      <c r="E123" s="29" t="inlineStr"/>
    </row>
    <row r="124" ht="16" customHeight="1">
      <c r="A124" s="30" t="inlineStr">
        <is>
          <t>22-24AWG High-flex Wire (min 19 strand)(250ft/76m total)</t>
        </is>
      </c>
      <c r="B124" s="31" t="n">
        <v>1</v>
      </c>
      <c r="C124" s="31" t="inlineStr"/>
      <c r="D124" s="31" t="inlineStr"/>
      <c r="E124" s="31" t="inlineStr"/>
    </row>
    <row r="125" ht="16" customHeight="1">
      <c r="A125" s="25" t="inlineStr">
        <is>
          <t>Female Spade Crimp Terminal (18-22AWG, .250", 6.35mm)</t>
        </is>
      </c>
      <c r="B125" s="26" t="n">
        <v>7</v>
      </c>
      <c r="C125" s="27" t="inlineStr">
        <is>
          <t>⚡ Buy All</t>
        </is>
      </c>
      <c r="D125" s="26" t="inlineStr"/>
      <c r="E125" s="26" t="inlineStr"/>
    </row>
    <row r="126" ht="16" customHeight="1">
      <c r="A126" s="25" t="inlineStr">
        <is>
          <t>Fork Spade Crimp Terminal (18-22AWG, #10)</t>
        </is>
      </c>
      <c r="B126" s="26" t="n">
        <v>5</v>
      </c>
      <c r="C126" s="27" t="inlineStr">
        <is>
          <t>⚡ Buy All</t>
        </is>
      </c>
      <c r="D126" s="26" t="inlineStr"/>
      <c r="E126" s="26" t="inlineStr"/>
    </row>
    <row r="127" ht="16" customHeight="1">
      <c r="A127" s="25" t="inlineStr">
        <is>
          <t>Ring Crimp Terminal (16-22AWG, #6)</t>
        </is>
      </c>
      <c r="B127" s="26" t="n">
        <v>1</v>
      </c>
      <c r="C127" s="27" t="inlineStr">
        <is>
          <t>⚡ Buy All</t>
        </is>
      </c>
      <c r="D127" s="26" t="inlineStr"/>
      <c r="E127" s="26" t="inlineStr"/>
    </row>
    <row r="128" ht="16" customHeight="1">
      <c r="A128" s="25" t="inlineStr">
        <is>
          <t>JST XH Connector, 3 Position Male/Female Pair plus Pins</t>
        </is>
      </c>
      <c r="B128" s="26" t="n">
        <v>1</v>
      </c>
      <c r="C128" s="27" t="inlineStr">
        <is>
          <t>⚡ Buy All</t>
        </is>
      </c>
      <c r="D128" s="26" t="inlineStr"/>
      <c r="E128" s="26" t="inlineStr"/>
    </row>
    <row r="129" ht="16" customHeight="1">
      <c r="A129" s="28" t="inlineStr">
        <is>
          <t>Connector kit matching your controller choice (usually JST-XH)</t>
        </is>
      </c>
      <c r="B129" s="29" t="n">
        <v>1</v>
      </c>
      <c r="C129" s="29" t="inlineStr"/>
      <c r="D129" s="29" t="inlineStr"/>
      <c r="E129" s="29" t="inlineStr"/>
    </row>
    <row r="130" ht="16" customHeight="1">
      <c r="A130" s="30" t="inlineStr">
        <is>
          <t>Crimp Ferrule Kit (covering sizes 24AWG to 18AWG)</t>
        </is>
      </c>
      <c r="B130" s="31" t="n">
        <v>1</v>
      </c>
      <c r="C130" s="31" t="inlineStr"/>
      <c r="D130" s="31" t="inlineStr"/>
      <c r="E130" s="31" t="inlineStr"/>
    </row>
    <row r="131" ht="16" customHeight="1">
      <c r="A131" s="25" t="inlineStr">
        <is>
          <t>MicroFit3 Connector Plug 4 Position</t>
        </is>
      </c>
      <c r="B131" s="26" t="n">
        <v>4</v>
      </c>
      <c r="C131" s="27" t="inlineStr">
        <is>
          <t>⚡ Buy All</t>
        </is>
      </c>
      <c r="D131" s="26" t="inlineStr"/>
      <c r="E131" s="26" t="inlineStr"/>
    </row>
    <row r="132" ht="16" customHeight="1">
      <c r="A132" s="25" t="inlineStr">
        <is>
          <t>MicroFit3 Connector Plug 3 Position</t>
        </is>
      </c>
      <c r="B132" s="26" t="n">
        <v>1</v>
      </c>
      <c r="C132" s="27" t="inlineStr">
        <is>
          <t>⚡ Buy All</t>
        </is>
      </c>
      <c r="D132" s="26" t="inlineStr"/>
      <c r="E132" s="26" t="inlineStr"/>
    </row>
    <row r="133" ht="16" customHeight="1">
      <c r="A133" s="25" t="inlineStr">
        <is>
          <t>MicroFit3 Connector Plug 2 Position</t>
        </is>
      </c>
      <c r="B133" s="26" t="n">
        <v>2</v>
      </c>
      <c r="C133" s="27" t="inlineStr">
        <is>
          <t>⚡ Buy All</t>
        </is>
      </c>
      <c r="D133" s="26" t="inlineStr"/>
      <c r="E133" s="26" t="inlineStr"/>
    </row>
    <row r="134" ht="16" customHeight="1">
      <c r="A134" s="25" t="inlineStr">
        <is>
          <t>MicroFit3 Connector Receptacle 4 Position</t>
        </is>
      </c>
      <c r="B134" s="26" t="n">
        <v>4</v>
      </c>
      <c r="C134" s="27" t="inlineStr">
        <is>
          <t>⚡ Buy All</t>
        </is>
      </c>
      <c r="D134" s="26" t="inlineStr"/>
      <c r="E134" s="26" t="inlineStr"/>
    </row>
    <row r="135" ht="16" customHeight="1">
      <c r="A135" s="25" t="inlineStr">
        <is>
          <t>MicroFit3 Connector Receptacle 3 Position</t>
        </is>
      </c>
      <c r="B135" s="26" t="n">
        <v>1</v>
      </c>
      <c r="C135" s="27" t="inlineStr">
        <is>
          <t>⚡ Buy All</t>
        </is>
      </c>
      <c r="D135" s="26" t="inlineStr"/>
      <c r="E135" s="26" t="inlineStr"/>
    </row>
    <row r="136" ht="16" customHeight="1">
      <c r="A136" s="25" t="inlineStr">
        <is>
          <t>MicroFit3 Connector Receptacle 2 Position</t>
        </is>
      </c>
      <c r="B136" s="26" t="n">
        <v>2</v>
      </c>
      <c r="C136" s="27" t="inlineStr">
        <is>
          <t>⚡ Buy All</t>
        </is>
      </c>
      <c r="D136" s="26" t="inlineStr"/>
      <c r="E136" s="26" t="inlineStr"/>
    </row>
    <row r="137" ht="16" customHeight="1">
      <c r="A137" s="25" t="inlineStr">
        <is>
          <t>MicroFit3 Female Pin</t>
        </is>
      </c>
      <c r="B137" s="26" t="n">
        <v>40</v>
      </c>
      <c r="C137" s="27" t="inlineStr">
        <is>
          <t>⚡ Buy All</t>
        </is>
      </c>
      <c r="D137" s="26" t="inlineStr"/>
      <c r="E137" s="26" t="inlineStr"/>
    </row>
    <row r="138" ht="16" customHeight="1">
      <c r="A138" s="25" t="inlineStr">
        <is>
          <t>MicroFit3 Male Pin</t>
        </is>
      </c>
      <c r="B138" s="26" t="n">
        <v>40</v>
      </c>
      <c r="C138" s="27" t="inlineStr">
        <is>
          <t>⚡ Buy All</t>
        </is>
      </c>
      <c r="D138" s="26" t="inlineStr"/>
      <c r="E138" s="26" t="inlineStr"/>
    </row>
    <row r="139" ht="16" customHeight="1">
      <c r="A139" s="25" t="inlineStr">
        <is>
          <t>WAGO 221-415 Lever-Nuts</t>
        </is>
      </c>
      <c r="B139" s="26" t="n">
        <v>3</v>
      </c>
      <c r="C139" s="27" t="inlineStr">
        <is>
          <t>⚡ Buy All</t>
        </is>
      </c>
      <c r="D139" s="26" t="inlineStr"/>
      <c r="E139" s="26" t="inlineStr"/>
    </row>
    <row r="141" ht="20" customHeight="1">
      <c r="A141" s="4" t="inlineStr">
        <is>
          <t xml:space="preserve">  ▶  13 – BED ASSEMBLY</t>
        </is>
      </c>
    </row>
    <row r="142" ht="16" customHeight="1">
      <c r="A142" s="24" t="inlineStr">
        <is>
          <t>Part</t>
        </is>
      </c>
      <c r="B142" s="24" t="inlineStr">
        <is>
          <t>Qty</t>
        </is>
      </c>
      <c r="C142" s="24" t="inlineStr">
        <is>
          <t>Buy All?</t>
        </is>
      </c>
      <c r="D142" s="24" t="inlineStr">
        <is>
          <t>☐ Ordered</t>
        </is>
      </c>
      <c r="E142" s="24" t="inlineStr">
        <is>
          <t>☐ Received</t>
        </is>
      </c>
    </row>
    <row r="143" ht="16" customHeight="1">
      <c r="A143" s="25" t="inlineStr">
        <is>
          <t>M4x6 BHCS</t>
        </is>
      </c>
      <c r="B143" s="26" t="n">
        <v>7</v>
      </c>
      <c r="C143" s="27" t="inlineStr">
        <is>
          <t>⚡ Buy All</t>
        </is>
      </c>
      <c r="D143" s="26" t="inlineStr"/>
      <c r="E143" s="26" t="inlineStr"/>
    </row>
    <row r="144" ht="16" customHeight="1">
      <c r="A144" s="25" t="inlineStr">
        <is>
          <t>M4 Knurled Nut (DIN 466-B)</t>
        </is>
      </c>
      <c r="B144" s="26" t="n">
        <v>4</v>
      </c>
      <c r="C144" s="27" t="inlineStr">
        <is>
          <t>⚡ Buy All</t>
        </is>
      </c>
      <c r="D144" s="26" t="inlineStr"/>
      <c r="E144" s="26" t="inlineStr"/>
    </row>
    <row r="145" ht="16" customHeight="1">
      <c r="A145" s="28" t="inlineStr">
        <is>
          <t>Thermal Fuse (150C)</t>
        </is>
      </c>
      <c r="B145" s="29" t="n">
        <v>1</v>
      </c>
      <c r="C145" s="29" t="inlineStr"/>
      <c r="D145" s="29" t="inlineStr"/>
      <c r="E145" s="29" t="inlineStr"/>
    </row>
    <row r="146" ht="16" customHeight="1">
      <c r="A146" s="30" t="inlineStr">
        <is>
          <t>3M VHB Tape 5952</t>
        </is>
      </c>
      <c r="B146" s="31" t="n">
        <v>1</v>
      </c>
      <c r="C146" s="31" t="inlineStr"/>
      <c r="D146" s="31" t="inlineStr"/>
      <c r="E146" s="31" t="inlineStr"/>
    </row>
    <row r="147" ht="16" customHeight="1">
      <c r="A147" s="28" t="inlineStr">
        <is>
          <t>MLX Power Receptacle 3 Position (bed wiring)</t>
        </is>
      </c>
      <c r="B147" s="29" t="n">
        <v>1</v>
      </c>
      <c r="C147" s="29" t="inlineStr"/>
      <c r="D147" s="29" t="inlineStr"/>
      <c r="E147" s="29" t="inlineStr"/>
    </row>
    <row r="148" ht="16" customHeight="1">
      <c r="A148" s="30" t="inlineStr">
        <is>
          <t>MLX Power Plug 3 Position</t>
        </is>
      </c>
      <c r="B148" s="31" t="n">
        <v>1</v>
      </c>
      <c r="C148" s="31" t="inlineStr"/>
      <c r="D148" s="31" t="inlineStr"/>
      <c r="E148" s="31" t="inlineStr"/>
    </row>
    <row r="149" ht="16" customHeight="1">
      <c r="A149" s="25" t="inlineStr">
        <is>
          <t>MLX Male Pin</t>
        </is>
      </c>
      <c r="B149" s="26" t="n">
        <v>6</v>
      </c>
      <c r="C149" s="27" t="inlineStr">
        <is>
          <t>⚡ Buy All</t>
        </is>
      </c>
      <c r="D149" s="26" t="inlineStr"/>
      <c r="E149" s="26" t="inlineStr"/>
    </row>
    <row r="150" ht="16" customHeight="1">
      <c r="A150" s="25" t="inlineStr">
        <is>
          <t>MLX Female Pin</t>
        </is>
      </c>
      <c r="B150" s="26" t="n">
        <v>6</v>
      </c>
      <c r="C150" s="27" t="inlineStr">
        <is>
          <t>⚡ Buy All</t>
        </is>
      </c>
      <c r="D150" s="26" t="inlineStr"/>
      <c r="E150" s="26" t="inlineStr"/>
    </row>
    <row r="151" ht="16" customHeight="1">
      <c r="A151" s="28" t="inlineStr">
        <is>
          <t>MIC6 5/16" Plate - 12"x12"</t>
        </is>
      </c>
      <c r="B151" s="29" t="n">
        <v>1</v>
      </c>
      <c r="C151" s="29" t="inlineStr"/>
      <c r="D151" s="29" t="inlineStr"/>
      <c r="E151" s="29" t="inlineStr"/>
    </row>
    <row r="152" ht="16" customHeight="1">
      <c r="A152" s="30" t="inlineStr">
        <is>
          <t>Adhesive Magnetic Sheet - 12"x12"</t>
        </is>
      </c>
      <c r="B152" s="31" t="n">
        <v>1</v>
      </c>
      <c r="C152" s="31" t="inlineStr"/>
      <c r="D152" s="31" t="inlineStr"/>
      <c r="E152" s="31" t="inlineStr"/>
    </row>
    <row r="153" ht="16" customHeight="1">
      <c r="A153" s="28" t="inlineStr">
        <is>
          <t>Spring Steel Flexible Print Surface - 12"x12"</t>
        </is>
      </c>
      <c r="B153" s="29" t="n">
        <v>1</v>
      </c>
      <c r="C153" s="29" t="inlineStr"/>
      <c r="D153" s="29" t="inlineStr"/>
      <c r="E153" s="29" t="inlineStr"/>
    </row>
    <row r="154" ht="16" customHeight="1">
      <c r="A154" s="30" t="inlineStr">
        <is>
          <t>Keenovo Silicone AC Heater w/ thermistor - 250x250mm (450W)</t>
        </is>
      </c>
      <c r="B154" s="31" t="n">
        <v>1</v>
      </c>
      <c r="C154" s="31" t="inlineStr"/>
      <c r="D154" s="31" t="inlineStr"/>
      <c r="E154" s="31" t="inlineStr"/>
    </row>
    <row r="156" ht="20" customHeight="1">
      <c r="A156" s="4" t="inlineStr">
        <is>
          <t xml:space="preserve">  ▶  14 – WIRING / FINAL</t>
        </is>
      </c>
    </row>
    <row r="157" ht="16" customHeight="1">
      <c r="A157" s="24" t="inlineStr">
        <is>
          <t>Part</t>
        </is>
      </c>
      <c r="B157" s="24" t="inlineStr">
        <is>
          <t>Qty</t>
        </is>
      </c>
      <c r="C157" s="24" t="inlineStr">
        <is>
          <t>Buy All?</t>
        </is>
      </c>
      <c r="D157" s="24" t="inlineStr">
        <is>
          <t>☐ Ordered</t>
        </is>
      </c>
      <c r="E157" s="24" t="inlineStr">
        <is>
          <t>☐ Received</t>
        </is>
      </c>
    </row>
    <row r="158" ht="16" customHeight="1">
      <c r="A158" s="30" t="inlineStr">
        <is>
          <t>IGUS E2i-10-10-018-0 Chain (355mm [1.16ft])</t>
        </is>
      </c>
      <c r="B158" s="31" t="n">
        <v>2</v>
      </c>
      <c r="C158" s="31" t="inlineStr"/>
      <c r="D158" s="31" t="inlineStr"/>
      <c r="E158" s="31" t="inlineStr"/>
    </row>
    <row r="159" ht="16" customHeight="1">
      <c r="A159" s="25" t="inlineStr">
        <is>
          <t>IGUS E2-100-10-12PZ Chain Ends (set)</t>
        </is>
      </c>
      <c r="B159" s="26" t="n">
        <v>2</v>
      </c>
      <c r="C159" s="27" t="inlineStr">
        <is>
          <t>⚡ Buy All</t>
        </is>
      </c>
      <c r="D159" s="26" t="inlineStr"/>
      <c r="E159" s="26" t="inlineStr"/>
    </row>
    <row r="160" ht="16" customHeight="1">
      <c r="A160" s="30" t="inlineStr">
        <is>
          <t>IGUS E2-15-10-028-0 Chain (495mm [1.62ft])</t>
        </is>
      </c>
      <c r="B160" s="31" t="n">
        <v>1</v>
      </c>
      <c r="C160" s="31" t="inlineStr"/>
      <c r="D160" s="31" t="inlineStr"/>
      <c r="E160" s="31" t="inlineStr"/>
    </row>
    <row r="161" ht="16" customHeight="1">
      <c r="A161" s="25" t="inlineStr">
        <is>
          <t>IGUS E2-150-10-12PZ Chain Ends (set)</t>
        </is>
      </c>
      <c r="B161" s="26" t="n">
        <v>1</v>
      </c>
      <c r="C161" s="27" t="inlineStr">
        <is>
          <t>⚡ Buy All</t>
        </is>
      </c>
      <c r="D161" s="26" t="inlineStr"/>
      <c r="E161" s="26" t="inlineStr"/>
    </row>
  </sheetData>
  <mergeCells count="14">
    <mergeCell ref="A39:E39"/>
    <mergeCell ref="A53:E53"/>
    <mergeCell ref="A77:E77"/>
    <mergeCell ref="A100:E100"/>
    <mergeCell ref="A81:E81"/>
    <mergeCell ref="A73:E73"/>
    <mergeCell ref="A2:E2"/>
    <mergeCell ref="A86:E86"/>
    <mergeCell ref="A96:E96"/>
    <mergeCell ref="A156:E156"/>
    <mergeCell ref="A60:E60"/>
    <mergeCell ref="A1:E1"/>
    <mergeCell ref="A141:E141"/>
    <mergeCell ref="A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ht="20" customHeight="1">
      <c r="A1" s="32" t="inlineStr">
        <is>
          <t>Voron 2.4 JIT Purchase Tracker – Key &amp; Tips</t>
        </is>
      </c>
    </row>
    <row r="2" ht="8" customHeight="1">
      <c r="A2" s="33" t="inlineStr"/>
    </row>
    <row r="3" ht="20" customHeight="1">
      <c r="A3" s="34" t="inlineStr">
        <is>
          <t>HOW TO USE</t>
        </is>
      </c>
    </row>
    <row r="4" ht="20" customHeight="1">
      <c r="A4" s="33" t="inlineStr">
        <is>
          <t>1. Parts are sorted by the assembly step that first needs them — this is your shopping trigger.</t>
        </is>
      </c>
    </row>
    <row r="5" ht="20" customHeight="1">
      <c r="A5" s="33" t="inlineStr">
        <is>
          <t>2. Before starting each assembly step, check what's listed under that heading and order/confirm receipt.</t>
        </is>
      </c>
    </row>
    <row r="6" ht="20" customHeight="1">
      <c r="A6" s="33" t="inlineStr">
        <is>
          <t>3. ⚡ YELLOW rows = 'Buy All Now' — these are consumables, fasteners, or parts needed at multiple stages. Buy the full BOM quantity the first time you need them.</t>
        </is>
      </c>
    </row>
    <row r="7" ht="20" customHeight="1">
      <c r="A7" s="33" t="inlineStr">
        <is>
          <t>4. White/blue rows = order just in time — single-use items that are only needed at one specific step.</t>
        </is>
      </c>
    </row>
    <row r="8" ht="20" customHeight="1">
      <c r="A8" s="33" t="inlineStr">
        <is>
          <t>5. Enter unit prices in column G; column H calculates the line total automatically.</t>
        </is>
      </c>
    </row>
    <row r="9" ht="20" customHeight="1">
      <c r="A9" s="33" t="inlineStr">
        <is>
          <t>6. Use the Buy List by Step sheet for a quick print-and-check shopping list format.</t>
        </is>
      </c>
    </row>
    <row r="10" ht="8" customHeight="1">
      <c r="A10" s="33" t="inlineStr"/>
    </row>
    <row r="11" ht="20" customHeight="1">
      <c r="A11" s="34" t="inlineStr">
        <is>
          <t>WHY 'BUY ALL NOW' FOR FASTENERS?</t>
        </is>
      </c>
    </row>
    <row r="12" ht="20" customHeight="1">
      <c r="A12" s="33" t="inlineStr">
        <is>
          <t>Fasteners like M3x8 SHCS (qty 180) are used in almost every subassembly. If you buy just what you need for step 2, you'll be placing 8 more orders. Buy the full BOM quantity once at the step that first needs them — same as buying all your lumber before a woodworking project.</t>
        </is>
      </c>
    </row>
    <row r="13" ht="20" customHeight="1">
      <c r="A13" s="33" t="inlineStr">
        <is>
          <t>The same applies to: bearings, T-nuts, heat-set inserts, connector pins, and other repeated small parts.</t>
        </is>
      </c>
    </row>
    <row r="14" ht="8" customHeight="1">
      <c r="A14" s="33" t="inlineStr"/>
    </row>
    <row r="15" ht="20" customHeight="1">
      <c r="A15" s="34" t="inlineStr">
        <is>
          <t>ORDER OF ASSEMBLY STEPS</t>
        </is>
      </c>
    </row>
    <row r="16" ht="20" customHeight="1">
      <c r="A16" s="33" t="inlineStr">
        <is>
          <t>1 – Frame                 Build the extrusion cube; install corner braces</t>
        </is>
      </c>
    </row>
    <row r="17" ht="20" customHeight="1">
      <c r="A17" s="33" t="inlineStr">
        <is>
          <t>2 – Z Drive Assembly      Z motors, Z idlers, linear rails go in first</t>
        </is>
      </c>
    </row>
    <row r="18" ht="20" customHeight="1">
      <c r="A18" s="33" t="inlineStr">
        <is>
          <t>3 – AB Drive Modules      A/B motor mounts, front idlers, gantry drives</t>
        </is>
      </c>
    </row>
    <row r="19" ht="20" customHeight="1">
      <c r="A19" s="33" t="inlineStr">
        <is>
          <t>4 – Gantry / XY Joints   XY joints, gantry extrusions, Z belt clips</t>
        </is>
      </c>
    </row>
    <row r="20" ht="20" customHeight="1">
      <c r="A20" s="33" t="inlineStr">
        <is>
          <t>5 – Toolhead              Extruder, hotend, probe — can print/assemble in parallel</t>
        </is>
      </c>
    </row>
    <row r="21" ht="20" customHeight="1">
      <c r="A21" s="33" t="inlineStr">
        <is>
          <t>6 – Belting Z Drive       Route and tension Z belts</t>
        </is>
      </c>
    </row>
    <row r="22" ht="20" customHeight="1">
      <c r="A22" s="33" t="inlineStr">
        <is>
          <t>7 – LCD Module            Mini 12864 display assembly</t>
        </is>
      </c>
    </row>
    <row r="23" ht="20" customHeight="1">
      <c r="A23" s="33" t="inlineStr">
        <is>
          <t>8 – Skirts                Bottom skirts, exhaust fans, belt guards</t>
        </is>
      </c>
    </row>
    <row r="24" ht="20" customHeight="1">
      <c r="A24" s="33" t="inlineStr">
        <is>
          <t>9 – Panels                Cut/order panels, install clips and doors</t>
        </is>
      </c>
    </row>
    <row r="25" ht="20" customHeight="1">
      <c r="A25" s="33" t="inlineStr">
        <is>
          <t>10 – Spool Holder         Spool arm + Bowden retainer</t>
        </is>
      </c>
    </row>
    <row r="26" ht="20" customHeight="1">
      <c r="A26" s="33" t="inlineStr">
        <is>
          <t>11 – Exhaust Filter       Carbon filter housing and grill</t>
        </is>
      </c>
    </row>
    <row r="27" ht="20" customHeight="1">
      <c r="A27" s="33" t="inlineStr">
        <is>
          <t>12 – Electronics          PSUs, MCU, RPi, SSR, wiring harness</t>
        </is>
      </c>
    </row>
    <row r="28" ht="20" customHeight="1">
      <c r="A28" s="33" t="inlineStr">
        <is>
          <t>13 – Bed Assembly         MIC6 plate, heater, PEI surface, Z endstop</t>
        </is>
      </c>
    </row>
    <row r="29" ht="20" customHeight="1">
      <c r="A29" s="33" t="inlineStr">
        <is>
          <t>14 – Wiring / Final       Drag chains, final cable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2026-06-04T22:07:37Z</dcterms:created>
  <dcterms:modified xmlns:dcterms="http://purl.org/dc/terms/" xmlns:xsi="http://www.w3.org/2001/XMLSchema-instance" xsi:type="dcterms:W3CDTF">2026-06-04T22:07:37Z</dcterms:modified>
</cp:coreProperties>
</file>